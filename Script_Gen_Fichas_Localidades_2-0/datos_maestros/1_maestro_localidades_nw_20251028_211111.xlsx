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Jonathan JD\Desktop\jonathan\Script_Gen_Fichas_Localidades_\datos_maestros\"/>
    </mc:Choice>
  </mc:AlternateContent>
  <xr:revisionPtr revIDLastSave="0" documentId="13_ncr:1_{BD16D5B0-3CC3-4FF3-BE6E-3F1C54FD91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chos" sheetId="15" r:id="rId1"/>
    <sheet name="revisado" sheetId="12" r:id="rId2"/>
    <sheet name="lucia 3" sheetId="14" r:id="rId3"/>
  </sheets>
  <definedNames>
    <definedName name="alcoben">#REF!</definedName>
  </definedNames>
  <calcPr calcId="181029"/>
</workbook>
</file>

<file path=xl/calcChain.xml><?xml version="1.0" encoding="utf-8"?>
<calcChain xmlns="http://schemas.openxmlformats.org/spreadsheetml/2006/main">
  <c r="M3" i="14" l="1"/>
  <c r="L3" i="14" s="1"/>
  <c r="J3" i="14" s="1"/>
  <c r="M4" i="14"/>
  <c r="L4" i="14" s="1"/>
  <c r="J4" i="14" s="1"/>
  <c r="M5" i="14"/>
  <c r="L5" i="14" s="1"/>
  <c r="J5" i="14" s="1"/>
  <c r="M6" i="14"/>
  <c r="L6" i="14" s="1"/>
  <c r="J6" i="14" s="1"/>
  <c r="M7" i="14"/>
  <c r="L7" i="14" s="1"/>
  <c r="J7" i="14" s="1"/>
  <c r="M8" i="14"/>
  <c r="L8" i="14" s="1"/>
  <c r="J8" i="14" s="1"/>
  <c r="M9" i="14"/>
  <c r="L9" i="14" s="1"/>
  <c r="J9" i="14" s="1"/>
  <c r="M10" i="14"/>
  <c r="L10" i="14" s="1"/>
  <c r="J10" i="14" s="1"/>
  <c r="M11" i="14"/>
  <c r="L11" i="14" s="1"/>
  <c r="J11" i="14" s="1"/>
  <c r="M12" i="14"/>
  <c r="L12" i="14" s="1"/>
  <c r="J12" i="14" s="1"/>
  <c r="L13" i="14"/>
  <c r="J13" i="14" s="1"/>
  <c r="M13" i="14"/>
  <c r="M14" i="14"/>
  <c r="L14" i="14" s="1"/>
  <c r="J14" i="14" s="1"/>
  <c r="M15" i="14"/>
  <c r="L15" i="14" s="1"/>
  <c r="J15" i="14" s="1"/>
  <c r="M16" i="14"/>
  <c r="L16" i="14" s="1"/>
  <c r="J16" i="14" s="1"/>
  <c r="M17" i="14"/>
  <c r="L17" i="14" s="1"/>
  <c r="J17" i="14" s="1"/>
  <c r="M18" i="14"/>
  <c r="L18" i="14" s="1"/>
  <c r="J18" i="14" s="1"/>
  <c r="M19" i="14"/>
  <c r="L19" i="14" s="1"/>
  <c r="J19" i="14" s="1"/>
  <c r="M20" i="14"/>
  <c r="L20" i="14" s="1"/>
  <c r="J20" i="14" s="1"/>
  <c r="M21" i="14"/>
  <c r="L21" i="14" s="1"/>
  <c r="J21" i="14" s="1"/>
  <c r="M22" i="14"/>
  <c r="L22" i="14" s="1"/>
  <c r="J22" i="14" s="1"/>
  <c r="M23" i="14"/>
  <c r="L23" i="14" s="1"/>
  <c r="J23" i="14" s="1"/>
  <c r="L24" i="14"/>
  <c r="J24" i="14" s="1"/>
  <c r="M24" i="14"/>
  <c r="M25" i="14"/>
  <c r="L25" i="14" s="1"/>
  <c r="J25" i="14" s="1"/>
  <c r="M26" i="14"/>
  <c r="L26" i="14" s="1"/>
  <c r="J26" i="14" s="1"/>
  <c r="M27" i="14"/>
  <c r="L27" i="14" s="1"/>
  <c r="J27" i="14" s="1"/>
  <c r="M28" i="14"/>
  <c r="L28" i="14" s="1"/>
  <c r="J28" i="14" s="1"/>
  <c r="L29" i="14"/>
  <c r="J29" i="14" s="1"/>
  <c r="M29" i="14"/>
  <c r="M30" i="14"/>
  <c r="L30" i="14" s="1"/>
  <c r="J30" i="14" s="1"/>
  <c r="M31" i="14"/>
  <c r="L31" i="14" s="1"/>
  <c r="J31" i="14" s="1"/>
  <c r="M32" i="14"/>
  <c r="L32" i="14" s="1"/>
  <c r="J32" i="14" s="1"/>
  <c r="M33" i="14"/>
  <c r="L33" i="14" s="1"/>
  <c r="J33" i="14" s="1"/>
  <c r="M34" i="14"/>
  <c r="L34" i="14" s="1"/>
  <c r="J34" i="14" s="1"/>
  <c r="M35" i="14"/>
  <c r="L35" i="14" s="1"/>
  <c r="J35" i="14" s="1"/>
  <c r="M36" i="14"/>
  <c r="L36" i="14" s="1"/>
  <c r="J36" i="14" s="1"/>
  <c r="M37" i="14"/>
  <c r="L37" i="14" s="1"/>
  <c r="J37" i="14" s="1"/>
  <c r="M38" i="14"/>
  <c r="L38" i="14" s="1"/>
  <c r="J38" i="14" s="1"/>
  <c r="M39" i="14"/>
  <c r="L39" i="14" s="1"/>
  <c r="J39" i="14" s="1"/>
  <c r="L40" i="14"/>
  <c r="J40" i="14" s="1"/>
  <c r="M40" i="14"/>
  <c r="M41" i="14"/>
  <c r="L41" i="14" s="1"/>
  <c r="J41" i="14" s="1"/>
  <c r="M42" i="14"/>
  <c r="L42" i="14" s="1"/>
  <c r="J42" i="14" s="1"/>
  <c r="M43" i="14"/>
  <c r="L43" i="14" s="1"/>
  <c r="J43" i="14" s="1"/>
  <c r="M44" i="14"/>
  <c r="L44" i="14" s="1"/>
  <c r="J44" i="14" s="1"/>
  <c r="L45" i="14"/>
  <c r="J45" i="14" s="1"/>
  <c r="M45" i="14"/>
  <c r="M46" i="14"/>
  <c r="L46" i="14" s="1"/>
  <c r="J46" i="14" s="1"/>
  <c r="M47" i="14"/>
  <c r="L47" i="14" s="1"/>
  <c r="J47" i="14" s="1"/>
  <c r="M48" i="14"/>
  <c r="L48" i="14" s="1"/>
  <c r="J48" i="14" s="1"/>
  <c r="M49" i="14"/>
  <c r="L49" i="14" s="1"/>
  <c r="J49" i="14" s="1"/>
  <c r="M50" i="14"/>
  <c r="L50" i="14" s="1"/>
  <c r="J50" i="14" s="1"/>
  <c r="M51" i="14"/>
  <c r="L51" i="14" s="1"/>
  <c r="J51" i="14" s="1"/>
  <c r="M52" i="14"/>
  <c r="L52" i="14" s="1"/>
  <c r="J52" i="14" s="1"/>
  <c r="M53" i="14"/>
  <c r="L53" i="14" s="1"/>
  <c r="J53" i="14" s="1"/>
  <c r="M54" i="14"/>
  <c r="L54" i="14" s="1"/>
  <c r="J54" i="14" s="1"/>
  <c r="M55" i="14"/>
  <c r="L55" i="14" s="1"/>
  <c r="J55" i="14" s="1"/>
  <c r="L56" i="14"/>
  <c r="J56" i="14" s="1"/>
  <c r="M56" i="14"/>
  <c r="M57" i="14"/>
  <c r="L57" i="14" s="1"/>
  <c r="J57" i="14" s="1"/>
  <c r="M58" i="14"/>
  <c r="L58" i="14" s="1"/>
  <c r="J58" i="14" s="1"/>
  <c r="M59" i="14"/>
  <c r="L59" i="14" s="1"/>
  <c r="J59" i="14" s="1"/>
  <c r="M60" i="14"/>
  <c r="L60" i="14" s="1"/>
  <c r="J60" i="14" s="1"/>
  <c r="L61" i="14"/>
  <c r="J61" i="14" s="1"/>
  <c r="M61" i="14"/>
  <c r="M62" i="14"/>
  <c r="L62" i="14" s="1"/>
  <c r="J62" i="14" s="1"/>
  <c r="M63" i="14"/>
  <c r="L63" i="14" s="1"/>
  <c r="J63" i="14" s="1"/>
  <c r="M64" i="14"/>
  <c r="L64" i="14" s="1"/>
  <c r="J64" i="14" s="1"/>
  <c r="M65" i="14"/>
  <c r="L65" i="14" s="1"/>
  <c r="J65" i="14" s="1"/>
  <c r="M66" i="14"/>
  <c r="L66" i="14" s="1"/>
  <c r="J66" i="14" s="1"/>
  <c r="M67" i="14"/>
  <c r="L67" i="14" s="1"/>
  <c r="J67" i="14" s="1"/>
  <c r="M68" i="14"/>
  <c r="L68" i="14" s="1"/>
  <c r="J68" i="14" s="1"/>
  <c r="L69" i="14"/>
  <c r="J69" i="14" s="1"/>
  <c r="M69" i="14"/>
  <c r="M70" i="14"/>
  <c r="L70" i="14" s="1"/>
  <c r="J70" i="14" s="1"/>
  <c r="M71" i="14"/>
  <c r="L71" i="14" s="1"/>
  <c r="J71" i="14" s="1"/>
  <c r="L72" i="14"/>
  <c r="J72" i="14" s="1"/>
  <c r="M72" i="14"/>
  <c r="M73" i="14"/>
  <c r="L73" i="14" s="1"/>
  <c r="J73" i="14" s="1"/>
  <c r="M74" i="14"/>
  <c r="L74" i="14" s="1"/>
  <c r="J74" i="14" s="1"/>
  <c r="M75" i="14"/>
  <c r="L75" i="14" s="1"/>
  <c r="J75" i="14" s="1"/>
  <c r="M76" i="14"/>
  <c r="L76" i="14" s="1"/>
  <c r="J76" i="14" s="1"/>
  <c r="M77" i="14"/>
  <c r="L77" i="14" s="1"/>
  <c r="J77" i="14" s="1"/>
  <c r="M78" i="14"/>
  <c r="L78" i="14" s="1"/>
  <c r="J78" i="14" s="1"/>
  <c r="M79" i="14"/>
  <c r="L79" i="14" s="1"/>
  <c r="J79" i="14" s="1"/>
  <c r="J80" i="14"/>
  <c r="L80" i="14"/>
  <c r="M80" i="14"/>
  <c r="M81" i="14"/>
  <c r="L81" i="14" s="1"/>
  <c r="J81" i="14" s="1"/>
  <c r="M82" i="14"/>
  <c r="L82" i="14" s="1"/>
  <c r="J82" i="14" s="1"/>
  <c r="M83" i="14"/>
  <c r="L83" i="14" s="1"/>
  <c r="J83" i="14" s="1"/>
  <c r="M84" i="14"/>
  <c r="L84" i="14" s="1"/>
  <c r="J84" i="14" s="1"/>
  <c r="M86" i="14"/>
  <c r="L86" i="14" s="1"/>
  <c r="J86" i="14" s="1"/>
  <c r="M87" i="14"/>
  <c r="L87" i="14" s="1"/>
  <c r="J87" i="14" s="1"/>
  <c r="M88" i="14"/>
  <c r="L88" i="14" s="1"/>
  <c r="J88" i="14" s="1"/>
  <c r="M89" i="14"/>
  <c r="L89" i="14" s="1"/>
  <c r="J89" i="14" s="1"/>
  <c r="M90" i="14"/>
  <c r="L90" i="14" s="1"/>
  <c r="J90" i="14" s="1"/>
  <c r="M91" i="14"/>
  <c r="L91" i="14" s="1"/>
  <c r="J91" i="14" s="1"/>
  <c r="M92" i="14"/>
  <c r="L92" i="14" s="1"/>
  <c r="J92" i="14" s="1"/>
  <c r="M93" i="14"/>
  <c r="L93" i="14" s="1"/>
  <c r="J93" i="14" s="1"/>
  <c r="L94" i="14"/>
  <c r="J94" i="14" s="1"/>
  <c r="M94" i="14"/>
  <c r="M95" i="14"/>
  <c r="L95" i="14" s="1"/>
  <c r="J95" i="14" s="1"/>
  <c r="M96" i="14"/>
  <c r="L96" i="14" s="1"/>
  <c r="J96" i="14" s="1"/>
  <c r="M97" i="14"/>
  <c r="L97" i="14" s="1"/>
  <c r="J97" i="14" s="1"/>
  <c r="M98" i="14"/>
  <c r="L98" i="14" s="1"/>
  <c r="J98" i="14" s="1"/>
  <c r="M99" i="14"/>
  <c r="L99" i="14" s="1"/>
  <c r="J99" i="14" s="1"/>
  <c r="M100" i="14"/>
  <c r="L100" i="14" s="1"/>
  <c r="J100" i="14" s="1"/>
  <c r="M101" i="14"/>
  <c r="L101" i="14" s="1"/>
  <c r="J101" i="14" s="1"/>
  <c r="L102" i="14"/>
  <c r="J102" i="14" s="1"/>
  <c r="M102" i="14"/>
  <c r="M103" i="14"/>
  <c r="L103" i="14" s="1"/>
  <c r="J103" i="14" s="1"/>
  <c r="M104" i="14"/>
  <c r="L104" i="14" s="1"/>
  <c r="J104" i="14" s="1"/>
  <c r="L105" i="14"/>
  <c r="J105" i="14" s="1"/>
  <c r="M105" i="14"/>
  <c r="M106" i="14"/>
  <c r="L106" i="14" s="1"/>
  <c r="J106" i="14" s="1"/>
  <c r="M107" i="14"/>
  <c r="L107" i="14" s="1"/>
  <c r="J107" i="14" s="1"/>
  <c r="M108" i="14"/>
  <c r="L108" i="14" s="1"/>
  <c r="J108" i="14" s="1"/>
  <c r="M109" i="14"/>
  <c r="L109" i="14" s="1"/>
  <c r="J109" i="14" s="1"/>
  <c r="L110" i="14"/>
  <c r="J110" i="14" s="1"/>
  <c r="M110" i="14"/>
  <c r="M111" i="14"/>
  <c r="L111" i="14" s="1"/>
  <c r="J111" i="14" s="1"/>
  <c r="M112" i="14"/>
  <c r="L112" i="14" s="1"/>
  <c r="J112" i="14" s="1"/>
  <c r="J113" i="14"/>
  <c r="L113" i="14"/>
  <c r="M113" i="14"/>
  <c r="M114" i="14"/>
  <c r="L114" i="14" s="1"/>
  <c r="J114" i="14" s="1"/>
  <c r="M115" i="14"/>
  <c r="L115" i="14" s="1"/>
  <c r="J115" i="14" s="1"/>
  <c r="M116" i="14"/>
  <c r="L116" i="14" s="1"/>
  <c r="J116" i="14" s="1"/>
  <c r="M117" i="14"/>
  <c r="L117" i="14" s="1"/>
  <c r="J117" i="14" s="1"/>
  <c r="L118" i="14"/>
  <c r="J118" i="14" s="1"/>
  <c r="M118" i="14"/>
  <c r="M119" i="14"/>
  <c r="L119" i="14" s="1"/>
  <c r="J119" i="14" s="1"/>
  <c r="M120" i="14"/>
  <c r="L120" i="14" s="1"/>
  <c r="J120" i="14" s="1"/>
  <c r="L121" i="14"/>
  <c r="J121" i="14" s="1"/>
  <c r="M121" i="14"/>
  <c r="M122" i="14"/>
  <c r="L122" i="14" s="1"/>
  <c r="J122" i="14" s="1"/>
  <c r="M123" i="14"/>
  <c r="L123" i="14" s="1"/>
  <c r="J123" i="14" s="1"/>
  <c r="M124" i="14"/>
  <c r="L124" i="14" s="1"/>
  <c r="J124" i="14" s="1"/>
  <c r="M125" i="14"/>
  <c r="L125" i="14" s="1"/>
  <c r="J125" i="14" s="1"/>
  <c r="M126" i="14"/>
  <c r="L126" i="14" s="1"/>
  <c r="J126" i="14" s="1"/>
  <c r="M127" i="14"/>
  <c r="L127" i="14" s="1"/>
  <c r="J127" i="14" s="1"/>
  <c r="M128" i="14"/>
  <c r="L128" i="14" s="1"/>
  <c r="J128" i="14" s="1"/>
  <c r="J129" i="14"/>
  <c r="L129" i="14"/>
  <c r="M129" i="14"/>
  <c r="M130" i="14"/>
  <c r="L130" i="14" s="1"/>
  <c r="J130" i="14" s="1"/>
  <c r="M131" i="14"/>
  <c r="L131" i="14" s="1"/>
  <c r="J131" i="14" s="1"/>
  <c r="M132" i="14"/>
  <c r="L132" i="14" s="1"/>
  <c r="J132" i="14" s="1"/>
  <c r="M133" i="14"/>
  <c r="L133" i="14" s="1"/>
  <c r="J133" i="14" s="1"/>
  <c r="M134" i="14"/>
  <c r="L134" i="14" s="1"/>
  <c r="J134" i="14" s="1"/>
  <c r="M135" i="14"/>
  <c r="L135" i="14" s="1"/>
  <c r="J135" i="14" s="1"/>
  <c r="M136" i="14"/>
  <c r="L136" i="14" s="1"/>
  <c r="J136" i="14" s="1"/>
  <c r="M137" i="14"/>
  <c r="L137" i="14" s="1"/>
  <c r="J137" i="14" s="1"/>
  <c r="M138" i="14"/>
  <c r="L138" i="14" s="1"/>
  <c r="J138" i="14" s="1"/>
  <c r="M139" i="14"/>
  <c r="L139" i="14" s="1"/>
  <c r="J139" i="14" s="1"/>
  <c r="M140" i="14"/>
  <c r="L140" i="14" s="1"/>
  <c r="J140" i="14" s="1"/>
  <c r="M141" i="14"/>
  <c r="L141" i="14" s="1"/>
  <c r="J141" i="14" s="1"/>
  <c r="M142" i="14"/>
  <c r="L142" i="14" s="1"/>
  <c r="J142" i="14" s="1"/>
  <c r="M143" i="14"/>
  <c r="L143" i="14" s="1"/>
  <c r="J143" i="14" s="1"/>
  <c r="M144" i="14"/>
  <c r="L144" i="14" s="1"/>
  <c r="J144" i="14" s="1"/>
  <c r="M145" i="14"/>
  <c r="L145" i="14" s="1"/>
  <c r="J145" i="14" s="1"/>
  <c r="M146" i="14"/>
  <c r="L146" i="14" s="1"/>
  <c r="J146" i="14" s="1"/>
  <c r="M147" i="14"/>
  <c r="L147" i="14" s="1"/>
  <c r="J147" i="14" s="1"/>
  <c r="M148" i="14"/>
  <c r="L148" i="14" s="1"/>
  <c r="J148" i="14" s="1"/>
  <c r="M149" i="14"/>
  <c r="L149" i="14" s="1"/>
  <c r="J149" i="14" s="1"/>
  <c r="L150" i="14"/>
  <c r="J150" i="14" s="1"/>
  <c r="M150" i="14"/>
  <c r="M151" i="14"/>
  <c r="L151" i="14" s="1"/>
  <c r="J151" i="14" s="1"/>
  <c r="M152" i="14"/>
  <c r="L152" i="14" s="1"/>
  <c r="J152" i="14" s="1"/>
  <c r="M153" i="14"/>
  <c r="L153" i="14" s="1"/>
  <c r="J153" i="14" s="1"/>
  <c r="M154" i="14"/>
  <c r="L154" i="14" s="1"/>
  <c r="J154" i="14" s="1"/>
  <c r="M155" i="14"/>
  <c r="L155" i="14" s="1"/>
  <c r="J155" i="14" s="1"/>
  <c r="M156" i="14"/>
  <c r="L156" i="14" s="1"/>
  <c r="J156" i="14" s="1"/>
  <c r="M157" i="14"/>
  <c r="L157" i="14" s="1"/>
  <c r="J157" i="14" s="1"/>
  <c r="M158" i="14"/>
  <c r="L158" i="14" s="1"/>
  <c r="J158" i="14" s="1"/>
  <c r="M159" i="14"/>
  <c r="L159" i="14" s="1"/>
  <c r="J159" i="14" s="1"/>
  <c r="M160" i="14"/>
  <c r="L160" i="14" s="1"/>
  <c r="J160" i="14" s="1"/>
  <c r="L161" i="14"/>
  <c r="J161" i="14" s="1"/>
  <c r="M161" i="14"/>
  <c r="M162" i="14"/>
  <c r="L162" i="14" s="1"/>
  <c r="J162" i="14" s="1"/>
  <c r="M163" i="14"/>
  <c r="L163" i="14" s="1"/>
  <c r="J163" i="14" s="1"/>
  <c r="M164" i="14"/>
  <c r="L164" i="14" s="1"/>
  <c r="J164" i="14" s="1"/>
  <c r="M165" i="14"/>
  <c r="L165" i="14" s="1"/>
  <c r="J165" i="14" s="1"/>
  <c r="L166" i="14"/>
  <c r="J166" i="14" s="1"/>
  <c r="M166" i="14"/>
  <c r="M167" i="14"/>
  <c r="L167" i="14" s="1"/>
  <c r="J167" i="14" s="1"/>
  <c r="M168" i="14"/>
  <c r="L168" i="14" s="1"/>
  <c r="J168" i="14" s="1"/>
  <c r="L169" i="14"/>
  <c r="J169" i="14" s="1"/>
  <c r="M169" i="14"/>
  <c r="M170" i="14"/>
  <c r="L170" i="14" s="1"/>
  <c r="J170" i="14" s="1"/>
  <c r="M171" i="14"/>
  <c r="L171" i="14" s="1"/>
  <c r="J171" i="14" s="1"/>
  <c r="M172" i="14"/>
  <c r="L172" i="14" s="1"/>
  <c r="J172" i="14" s="1"/>
  <c r="L173" i="14"/>
  <c r="J173" i="14" s="1"/>
  <c r="M173" i="14"/>
  <c r="M174" i="14"/>
  <c r="L174" i="14" s="1"/>
  <c r="J174" i="14" s="1"/>
  <c r="M175" i="14"/>
  <c r="L175" i="14" s="1"/>
  <c r="J175" i="14" s="1"/>
  <c r="M176" i="14"/>
  <c r="L176" i="14" s="1"/>
  <c r="J176" i="14" s="1"/>
  <c r="M177" i="14"/>
  <c r="L177" i="14" s="1"/>
  <c r="J177" i="14" s="1"/>
  <c r="M178" i="14"/>
  <c r="L178" i="14" s="1"/>
  <c r="J178" i="14" s="1"/>
  <c r="M179" i="14"/>
  <c r="L179" i="14" s="1"/>
  <c r="J179" i="14" s="1"/>
  <c r="M180" i="14"/>
  <c r="L180" i="14" s="1"/>
  <c r="J180" i="14" s="1"/>
  <c r="M181" i="14"/>
  <c r="L181" i="14" s="1"/>
  <c r="J181" i="14" s="1"/>
  <c r="M182" i="14"/>
  <c r="L182" i="14" s="1"/>
  <c r="J182" i="14" s="1"/>
  <c r="M183" i="14"/>
  <c r="L183" i="14" s="1"/>
  <c r="J183" i="14" s="1"/>
  <c r="M184" i="14"/>
  <c r="L184" i="14" s="1"/>
  <c r="J184" i="14" s="1"/>
  <c r="M185" i="14"/>
  <c r="L185" i="14" s="1"/>
  <c r="J185" i="14" s="1"/>
  <c r="M186" i="14"/>
  <c r="L186" i="14" s="1"/>
  <c r="J186" i="14" s="1"/>
  <c r="M187" i="14"/>
  <c r="L187" i="14" s="1"/>
  <c r="J187" i="14" s="1"/>
  <c r="M188" i="14"/>
  <c r="L188" i="14" s="1"/>
  <c r="J188" i="14" s="1"/>
  <c r="M189" i="14"/>
  <c r="L189" i="14" s="1"/>
  <c r="J189" i="14" s="1"/>
  <c r="L190" i="14"/>
  <c r="J190" i="14" s="1"/>
  <c r="M190" i="14"/>
  <c r="M191" i="14"/>
  <c r="L191" i="14" s="1"/>
  <c r="J191" i="14" s="1"/>
  <c r="M192" i="14"/>
  <c r="L192" i="14" s="1"/>
  <c r="J192" i="14" s="1"/>
  <c r="M193" i="14"/>
  <c r="L193" i="14" s="1"/>
  <c r="J193" i="14" s="1"/>
  <c r="M194" i="14"/>
  <c r="L194" i="14" s="1"/>
  <c r="J194" i="14" s="1"/>
  <c r="M195" i="14"/>
  <c r="L195" i="14" s="1"/>
  <c r="J195" i="14" s="1"/>
  <c r="M196" i="14"/>
  <c r="L196" i="14" s="1"/>
  <c r="J196" i="14" s="1"/>
  <c r="M197" i="14"/>
  <c r="L197" i="14" s="1"/>
  <c r="J197" i="14" s="1"/>
  <c r="L198" i="14"/>
  <c r="J198" i="14" s="1"/>
  <c r="M198" i="14"/>
  <c r="M199" i="14"/>
  <c r="L199" i="14" s="1"/>
  <c r="J199" i="14" s="1"/>
  <c r="M200" i="14"/>
  <c r="L200" i="14" s="1"/>
  <c r="J200" i="14" s="1"/>
  <c r="M201" i="14"/>
  <c r="L201" i="14" s="1"/>
  <c r="J201" i="14" s="1"/>
  <c r="M202" i="14"/>
  <c r="L202" i="14" s="1"/>
  <c r="J202" i="14" s="1"/>
  <c r="M197" i="15"/>
  <c r="L197" i="15" s="1"/>
  <c r="J197" i="15" s="1"/>
  <c r="M657" i="15"/>
  <c r="L657" i="15" s="1"/>
  <c r="J657" i="15" s="1"/>
  <c r="M596" i="15"/>
  <c r="L596" i="15" s="1"/>
  <c r="J596" i="15" s="1"/>
  <c r="M143" i="15"/>
  <c r="L143" i="15" s="1"/>
  <c r="J143" i="15" s="1"/>
  <c r="M658" i="15"/>
  <c r="L658" i="15" s="1"/>
  <c r="J658" i="15" s="1"/>
  <c r="M279" i="15"/>
  <c r="L279" i="15" s="1"/>
  <c r="J279" i="15" s="1"/>
  <c r="M144" i="15"/>
  <c r="L144" i="15" s="1"/>
  <c r="J144" i="15" s="1"/>
  <c r="M158" i="15"/>
  <c r="L158" i="15" s="1"/>
  <c r="J158" i="15" s="1"/>
  <c r="M145" i="15"/>
  <c r="L145" i="15" s="1"/>
  <c r="J145" i="15" s="1"/>
  <c r="M597" i="15"/>
  <c r="L597" i="15" s="1"/>
  <c r="J597" i="15" s="1"/>
  <c r="M146" i="15"/>
  <c r="L146" i="15" s="1"/>
  <c r="J146" i="15" s="1"/>
  <c r="M297" i="15"/>
  <c r="L297" i="15" s="1"/>
  <c r="J297" i="15" s="1"/>
  <c r="M150" i="15"/>
  <c r="L150" i="15" s="1"/>
  <c r="J150" i="15" s="1"/>
  <c r="M598" i="15"/>
  <c r="L598" i="15" s="1"/>
  <c r="J598" i="15" s="1"/>
  <c r="M599" i="15"/>
  <c r="L599" i="15" s="1"/>
  <c r="J599" i="15" s="1"/>
  <c r="M299" i="15"/>
  <c r="L299" i="15" s="1"/>
  <c r="J299" i="15" s="1"/>
  <c r="M315" i="15"/>
  <c r="L315" i="15" s="1"/>
  <c r="J315" i="15" s="1"/>
  <c r="M659" i="15"/>
  <c r="L659" i="15" s="1"/>
  <c r="J659" i="15" s="1"/>
  <c r="M489" i="15"/>
  <c r="L489" i="15" s="1"/>
  <c r="J489" i="15" s="1"/>
  <c r="M526" i="15"/>
  <c r="L526" i="15" s="1"/>
  <c r="J526" i="15" s="1"/>
  <c r="M261" i="15"/>
  <c r="L261" i="15" s="1"/>
  <c r="J261" i="15" s="1"/>
  <c r="M301" i="15"/>
  <c r="L301" i="15" s="1"/>
  <c r="J301" i="15" s="1"/>
  <c r="M300" i="15"/>
  <c r="L300" i="15" s="1"/>
  <c r="J300" i="15" s="1"/>
  <c r="M661" i="15"/>
  <c r="L661" i="15" s="1"/>
  <c r="J661" i="15" s="1"/>
  <c r="M662" i="15"/>
  <c r="L662" i="15" s="1"/>
  <c r="J662" i="15" s="1"/>
  <c r="M660" i="15"/>
  <c r="L660" i="15" s="1"/>
  <c r="J660" i="15" s="1"/>
  <c r="M519" i="15"/>
  <c r="L519" i="15" s="1"/>
  <c r="J519" i="15" s="1"/>
  <c r="M456" i="15"/>
  <c r="L456" i="15" s="1"/>
  <c r="J456" i="15" s="1"/>
  <c r="M490" i="15"/>
  <c r="L490" i="15" s="1"/>
  <c r="J490" i="15" s="1"/>
  <c r="M302" i="15"/>
  <c r="L302" i="15" s="1"/>
  <c r="J302" i="15" s="1"/>
  <c r="M663" i="15"/>
  <c r="L663" i="15" s="1"/>
  <c r="J663" i="15" s="1"/>
  <c r="M457" i="15"/>
  <c r="L457" i="15" s="1"/>
  <c r="J457" i="15" s="1"/>
  <c r="M378" i="15"/>
  <c r="L378" i="15" s="1"/>
  <c r="J378" i="15" s="1"/>
  <c r="M610" i="15"/>
  <c r="L610" i="15" s="1"/>
  <c r="J610" i="15" s="1"/>
  <c r="M274" i="15"/>
  <c r="L274" i="15" s="1"/>
  <c r="J274" i="15" s="1"/>
  <c r="M379" i="15"/>
  <c r="L379" i="15" s="1"/>
  <c r="J379" i="15" s="1"/>
  <c r="M380" i="15"/>
  <c r="L380" i="15" s="1"/>
  <c r="J380" i="15" s="1"/>
  <c r="M316" i="15"/>
  <c r="L316" i="15" s="1"/>
  <c r="J316" i="15" s="1"/>
  <c r="M664" i="15"/>
  <c r="L664" i="15" s="1"/>
  <c r="J664" i="15" s="1"/>
  <c r="M643" i="15"/>
  <c r="L643" i="15" s="1"/>
  <c r="J643" i="15" s="1"/>
  <c r="M352" i="15"/>
  <c r="L352" i="15" s="1"/>
  <c r="J352" i="15" s="1"/>
  <c r="M267" i="15"/>
  <c r="L267" i="15" s="1"/>
  <c r="J267" i="15" s="1"/>
  <c r="M381" i="15"/>
  <c r="L381" i="15" s="1"/>
  <c r="J381" i="15" s="1"/>
  <c r="M461" i="15"/>
  <c r="L461" i="15" s="1"/>
  <c r="J461" i="15" s="1"/>
  <c r="M462" i="15"/>
  <c r="L462" i="15" s="1"/>
  <c r="J462" i="15" s="1"/>
  <c r="M583" i="15"/>
  <c r="L583" i="15" s="1"/>
  <c r="J583" i="15" s="1"/>
  <c r="M151" i="15"/>
  <c r="L151" i="15" s="1"/>
  <c r="J151" i="15" s="1"/>
  <c r="M141" i="15"/>
  <c r="L141" i="15" s="1"/>
  <c r="J141" i="15" s="1"/>
  <c r="M464" i="15"/>
  <c r="L464" i="15" s="1"/>
  <c r="J464" i="15" s="1"/>
  <c r="M491" i="15"/>
  <c r="L491" i="15" s="1"/>
  <c r="J491" i="15" s="1"/>
  <c r="M665" i="15"/>
  <c r="L665" i="15" s="1"/>
  <c r="J665" i="15" s="1"/>
  <c r="M637" i="15"/>
  <c r="L637" i="15" s="1"/>
  <c r="J637" i="15" s="1"/>
  <c r="M586" i="15"/>
  <c r="L586" i="15" s="1"/>
  <c r="J586" i="15" s="1"/>
  <c r="M638" i="15"/>
  <c r="L638" i="15" s="1"/>
  <c r="J638" i="15" s="1"/>
  <c r="M611" i="15"/>
  <c r="L611" i="15" s="1"/>
  <c r="J611" i="15" s="1"/>
  <c r="M349" i="15"/>
  <c r="L349" i="15" s="1"/>
  <c r="J349" i="15" s="1"/>
  <c r="M492" i="15"/>
  <c r="L492" i="15" s="1"/>
  <c r="J492" i="15" s="1"/>
  <c r="M493" i="15"/>
  <c r="L493" i="15" s="1"/>
  <c r="J493" i="15" s="1"/>
  <c r="M600" i="15"/>
  <c r="L600" i="15" s="1"/>
  <c r="J600" i="15" s="1"/>
  <c r="M666" i="15"/>
  <c r="L666" i="15" s="1"/>
  <c r="J666" i="15" s="1"/>
  <c r="M262" i="15"/>
  <c r="L262" i="15" s="1"/>
  <c r="J262" i="15" s="1"/>
  <c r="M494" i="15"/>
  <c r="L494" i="15" s="1"/>
  <c r="J494" i="15" s="1"/>
  <c r="M383" i="15"/>
  <c r="L383" i="15" s="1"/>
  <c r="J383" i="15" s="1"/>
  <c r="M160" i="15"/>
  <c r="L160" i="15" s="1"/>
  <c r="J160" i="15" s="1"/>
  <c r="M384" i="15"/>
  <c r="L384" i="15" s="1"/>
  <c r="J384" i="15" s="1"/>
  <c r="M601" i="15"/>
  <c r="L601" i="15" s="1"/>
  <c r="J601" i="15" s="1"/>
  <c r="M359" i="15"/>
  <c r="L359" i="15" s="1"/>
  <c r="J359" i="15" s="1"/>
  <c r="M667" i="15"/>
  <c r="L667" i="15" s="1"/>
  <c r="J667" i="15" s="1"/>
  <c r="M495" i="15"/>
  <c r="L495" i="15" s="1"/>
  <c r="J495" i="15" s="1"/>
  <c r="M353" i="15"/>
  <c r="L353" i="15" s="1"/>
  <c r="J353" i="15" s="1"/>
  <c r="M304" i="15"/>
  <c r="L304" i="15" s="1"/>
  <c r="J304" i="15" s="1"/>
  <c r="M360" i="15"/>
  <c r="L360" i="15" s="1"/>
  <c r="J360" i="15" s="1"/>
  <c r="M644" i="15"/>
  <c r="L644" i="15" s="1"/>
  <c r="J644" i="15" s="1"/>
  <c r="M385" i="15"/>
  <c r="L385" i="15" s="1"/>
  <c r="J385" i="15" s="1"/>
  <c r="M465" i="15"/>
  <c r="L465" i="15" s="1"/>
  <c r="J465" i="15" s="1"/>
  <c r="M310" i="15"/>
  <c r="L310" i="15" s="1"/>
  <c r="J310" i="15" s="1"/>
  <c r="M496" i="15"/>
  <c r="L496" i="15" s="1"/>
  <c r="J496" i="15" s="1"/>
  <c r="M668" i="15"/>
  <c r="L668" i="15" s="1"/>
  <c r="J668" i="15" s="1"/>
  <c r="M602" i="15"/>
  <c r="L602" i="15" s="1"/>
  <c r="J602" i="15" s="1"/>
  <c r="M305" i="15"/>
  <c r="L305" i="15" s="1"/>
  <c r="J305" i="15" s="1"/>
  <c r="M306" i="15"/>
  <c r="L306" i="15" s="1"/>
  <c r="J306" i="15" s="1"/>
  <c r="M149" i="15"/>
  <c r="L149" i="15" s="1"/>
  <c r="J149" i="15" s="1"/>
  <c r="M466" i="15"/>
  <c r="L466" i="15" s="1"/>
  <c r="J466" i="15" s="1"/>
  <c r="M152" i="15"/>
  <c r="L152" i="15" s="1"/>
  <c r="J152" i="15" s="1"/>
  <c r="M163" i="15"/>
  <c r="L163" i="15" s="1"/>
  <c r="J163" i="15" s="1"/>
  <c r="M361" i="15"/>
  <c r="L361" i="15" s="1"/>
  <c r="J361" i="15" s="1"/>
  <c r="M370" i="15"/>
  <c r="L370" i="15" s="1"/>
  <c r="J370" i="15" s="1"/>
  <c r="M362" i="15"/>
  <c r="L362" i="15" s="1"/>
  <c r="J362" i="15" s="1"/>
  <c r="M669" i="15"/>
  <c r="L669" i="15" s="1"/>
  <c r="J669" i="15" s="1"/>
  <c r="M520" i="15"/>
  <c r="L520" i="15" s="1"/>
  <c r="J520" i="15" s="1"/>
  <c r="M467" i="15"/>
  <c r="L467" i="15" s="1"/>
  <c r="J467" i="15" s="1"/>
  <c r="M282" i="15"/>
  <c r="L282" i="15" s="1"/>
  <c r="J282" i="15" s="1"/>
  <c r="M670" i="15"/>
  <c r="L670" i="15" s="1"/>
  <c r="J670" i="15" s="1"/>
  <c r="M311" i="15"/>
  <c r="L311" i="15" s="1"/>
  <c r="J311" i="15" s="1"/>
  <c r="M164" i="15"/>
  <c r="L164" i="15" s="1"/>
  <c r="J164" i="15" s="1"/>
  <c r="M165" i="15"/>
  <c r="L165" i="15" s="1"/>
  <c r="J165" i="15" s="1"/>
  <c r="M615" i="15"/>
  <c r="L615" i="15" s="1"/>
  <c r="J615" i="15" s="1"/>
  <c r="M468" i="15"/>
  <c r="L468" i="15" s="1"/>
  <c r="J468" i="15" s="1"/>
  <c r="M469" i="15"/>
  <c r="L469" i="15" s="1"/>
  <c r="J469" i="15" s="1"/>
  <c r="M471" i="15"/>
  <c r="L471" i="15" s="1"/>
  <c r="J471" i="15" s="1"/>
  <c r="M303" i="15"/>
  <c r="L303" i="15" s="1"/>
  <c r="J303" i="15" s="1"/>
  <c r="M679" i="15"/>
  <c r="L679" i="15" s="1"/>
  <c r="J679" i="15" s="1"/>
  <c r="M317" i="15"/>
  <c r="L317" i="15" s="1"/>
  <c r="J317" i="15" s="1"/>
  <c r="M318" i="15"/>
  <c r="L318" i="15" s="1"/>
  <c r="J318" i="15" s="1"/>
  <c r="M497" i="15"/>
  <c r="L497" i="15" s="1"/>
  <c r="J497" i="15" s="1"/>
  <c r="M167" i="15"/>
  <c r="L167" i="15" s="1"/>
  <c r="J167" i="15" s="1"/>
  <c r="M671" i="15"/>
  <c r="L671" i="15" s="1"/>
  <c r="J671" i="15" s="1"/>
  <c r="M319" i="15"/>
  <c r="L319" i="15" s="1"/>
  <c r="J319" i="15" s="1"/>
  <c r="M283" i="15"/>
  <c r="L283" i="15" s="1"/>
  <c r="J283" i="15" s="1"/>
  <c r="M387" i="15"/>
  <c r="L387" i="15" s="1"/>
  <c r="J387" i="15" s="1"/>
  <c r="M672" i="15"/>
  <c r="L672" i="15" s="1"/>
  <c r="J672" i="15" s="1"/>
  <c r="M263" i="15"/>
  <c r="L263" i="15" s="1"/>
  <c r="J263" i="15" s="1"/>
  <c r="M498" i="15"/>
  <c r="L498" i="15" s="1"/>
  <c r="J498" i="15" s="1"/>
  <c r="M472" i="15"/>
  <c r="L472" i="15" s="1"/>
  <c r="J472" i="15" s="1"/>
  <c r="M264" i="15"/>
  <c r="L264" i="15" s="1"/>
  <c r="J264" i="15" s="1"/>
  <c r="M268" i="15"/>
  <c r="L268" i="15" s="1"/>
  <c r="J268" i="15" s="1"/>
  <c r="M521" i="15"/>
  <c r="L521" i="15" s="1"/>
  <c r="J521" i="15" s="1"/>
  <c r="M587" i="15"/>
  <c r="L587" i="15" s="1"/>
  <c r="J587" i="15" s="1"/>
  <c r="M320" i="15"/>
  <c r="L320" i="15" s="1"/>
  <c r="J320" i="15" s="1"/>
  <c r="M354" i="15"/>
  <c r="L354" i="15" s="1"/>
  <c r="J354" i="15" s="1"/>
  <c r="M612" i="15"/>
  <c r="L612" i="15" s="1"/>
  <c r="J612" i="15" s="1"/>
  <c r="M681" i="15"/>
  <c r="L681" i="15" s="1"/>
  <c r="J681" i="15" s="1"/>
  <c r="M169" i="15"/>
  <c r="L169" i="15" s="1"/>
  <c r="J169" i="15" s="1"/>
  <c r="M170" i="15"/>
  <c r="L170" i="15" s="1"/>
  <c r="J170" i="15" s="1"/>
  <c r="M588" i="15"/>
  <c r="L588" i="15" s="1"/>
  <c r="J588" i="15" s="1"/>
  <c r="M172" i="15"/>
  <c r="L172" i="15" s="1"/>
  <c r="J172" i="15" s="1"/>
  <c r="M527" i="15"/>
  <c r="L527" i="15" s="1"/>
  <c r="J527" i="15" s="1"/>
  <c r="M284" i="15"/>
  <c r="L284" i="15" s="1"/>
  <c r="J284" i="15" s="1"/>
  <c r="M285" i="15"/>
  <c r="L285" i="15" s="1"/>
  <c r="J285" i="15" s="1"/>
  <c r="M473" i="15"/>
  <c r="L473" i="15" s="1"/>
  <c r="J473" i="15" s="1"/>
  <c r="M175" i="15"/>
  <c r="L175" i="15" s="1"/>
  <c r="J175" i="15" s="1"/>
  <c r="M522" i="15"/>
  <c r="L522" i="15" s="1"/>
  <c r="J522" i="15" s="1"/>
  <c r="M474" i="15"/>
  <c r="L474" i="15" s="1"/>
  <c r="J474" i="15" s="1"/>
  <c r="M616" i="15"/>
  <c r="L616" i="15" s="1"/>
  <c r="J616" i="15" s="1"/>
  <c r="M272" i="15"/>
  <c r="L272" i="15" s="1"/>
  <c r="J272" i="15" s="1"/>
  <c r="M363" i="15"/>
  <c r="L363" i="15" s="1"/>
  <c r="J363" i="15" s="1"/>
  <c r="M515" i="15"/>
  <c r="L515" i="15" s="1"/>
  <c r="J515" i="15" s="1"/>
  <c r="M179" i="15"/>
  <c r="L179" i="15" s="1"/>
  <c r="J179" i="15" s="1"/>
  <c r="M393" i="15"/>
  <c r="L393" i="15" s="1"/>
  <c r="J393" i="15" s="1"/>
  <c r="M286" i="15"/>
  <c r="L286" i="15" s="1"/>
  <c r="J286" i="15" s="1"/>
  <c r="M499" i="15"/>
  <c r="L499" i="15" s="1"/>
  <c r="J499" i="15" s="1"/>
  <c r="M321" i="15"/>
  <c r="L321" i="15" s="1"/>
  <c r="J321" i="15" s="1"/>
  <c r="M275" i="15"/>
  <c r="L275" i="15" s="1"/>
  <c r="J275" i="15" s="1"/>
  <c r="M396" i="15"/>
  <c r="L396" i="15" s="1"/>
  <c r="J396" i="15" s="1"/>
  <c r="M398" i="15"/>
  <c r="L398" i="15" s="1"/>
  <c r="J398" i="15" s="1"/>
  <c r="M617" i="15"/>
  <c r="L617" i="15" s="1"/>
  <c r="J617" i="15" s="1"/>
  <c r="M280" i="15"/>
  <c r="L280" i="15" s="1"/>
  <c r="J280" i="15" s="1"/>
  <c r="M500" i="15"/>
  <c r="L500" i="15" s="1"/>
  <c r="J500" i="15" s="1"/>
  <c r="M181" i="15"/>
  <c r="L181" i="15" s="1"/>
  <c r="J181" i="15" s="1"/>
  <c r="M618" i="15"/>
  <c r="L618" i="15" s="1"/>
  <c r="J618" i="15" s="1"/>
  <c r="M364" i="15"/>
  <c r="L364" i="15" s="1"/>
  <c r="J364" i="15" s="1"/>
  <c r="M182" i="15"/>
  <c r="L182" i="15" s="1"/>
  <c r="J182" i="15" s="1"/>
  <c r="M400" i="15"/>
  <c r="L400" i="15" s="1"/>
  <c r="J400" i="15" s="1"/>
  <c r="M682" i="15"/>
  <c r="L682" i="15" s="1"/>
  <c r="J682" i="15" s="1"/>
  <c r="M281" i="15"/>
  <c r="L281" i="15" s="1"/>
  <c r="J281" i="15" s="1"/>
  <c r="M153" i="15"/>
  <c r="L153" i="15" s="1"/>
  <c r="J153" i="15" s="1"/>
  <c r="M673" i="15"/>
  <c r="L673" i="15" s="1"/>
  <c r="J673" i="15" s="1"/>
  <c r="M683" i="15"/>
  <c r="L683" i="15" s="1"/>
  <c r="J683" i="15" s="1"/>
  <c r="M584" i="15"/>
  <c r="L584" i="15" s="1"/>
  <c r="J584" i="15" s="1"/>
  <c r="M142" i="15"/>
  <c r="L142" i="15" s="1"/>
  <c r="J142" i="15" s="1"/>
  <c r="M187" i="15"/>
  <c r="L187" i="15" s="1"/>
  <c r="J187" i="15" s="1"/>
  <c r="M188" i="15"/>
  <c r="L188" i="15" s="1"/>
  <c r="J188" i="15" s="1"/>
  <c r="M639" i="15"/>
  <c r="L639" i="15" s="1"/>
  <c r="J639" i="15" s="1"/>
  <c r="M674" i="15"/>
  <c r="L674" i="15" s="1"/>
  <c r="J674" i="15" s="1"/>
  <c r="M589" i="15"/>
  <c r="L589" i="15" s="1"/>
  <c r="J589" i="15" s="1"/>
  <c r="M307" i="15"/>
  <c r="L307" i="15" s="1"/>
  <c r="J307" i="15" s="1"/>
  <c r="M190" i="15"/>
  <c r="L190" i="15" s="1"/>
  <c r="J190" i="15" s="1"/>
  <c r="M450" i="15"/>
  <c r="L450" i="15" s="1"/>
  <c r="J450" i="15" s="1"/>
  <c r="M501" i="15"/>
  <c r="L501" i="15" s="1"/>
  <c r="J501" i="15" s="1"/>
  <c r="M287" i="15"/>
  <c r="L287" i="15" s="1"/>
  <c r="J287" i="15" s="1"/>
  <c r="M528" i="15"/>
  <c r="L528" i="15" s="1"/>
  <c r="J528" i="15" s="1"/>
  <c r="M312" i="15"/>
  <c r="L312" i="15" s="1"/>
  <c r="J312" i="15" s="1"/>
  <c r="M405" i="15"/>
  <c r="L405" i="15" s="1"/>
  <c r="J405" i="15" s="1"/>
  <c r="M619" i="15"/>
  <c r="L619" i="15" s="1"/>
  <c r="J619" i="15" s="1"/>
  <c r="M407" i="15"/>
  <c r="L407" i="15" s="1"/>
  <c r="J407" i="15" s="1"/>
  <c r="M640" i="15"/>
  <c r="L640" i="15" s="1"/>
  <c r="J640" i="15" s="1"/>
  <c r="M191" i="15"/>
  <c r="L191" i="15" s="1"/>
  <c r="J191" i="15" s="1"/>
  <c r="M288" i="15"/>
  <c r="L288" i="15" s="1"/>
  <c r="J288" i="15" s="1"/>
  <c r="M408" i="15"/>
  <c r="L408" i="15" s="1"/>
  <c r="J408" i="15" s="1"/>
  <c r="M675" i="15"/>
  <c r="L675" i="15" s="1"/>
  <c r="J675" i="15" s="1"/>
  <c r="M147" i="15"/>
  <c r="L147" i="15" s="1"/>
  <c r="J147" i="15" s="1"/>
  <c r="M502" i="15"/>
  <c r="L502" i="15" s="1"/>
  <c r="J502" i="15" s="1"/>
  <c r="M295" i="15"/>
  <c r="L295" i="15" s="1"/>
  <c r="J295" i="15" s="1"/>
  <c r="M192" i="15"/>
  <c r="L192" i="15" s="1"/>
  <c r="J192" i="15" s="1"/>
  <c r="M298" i="15"/>
  <c r="L298" i="15" s="1"/>
  <c r="J298" i="15" s="1"/>
  <c r="M523" i="15"/>
  <c r="L523" i="15" s="1"/>
  <c r="J523" i="15" s="1"/>
  <c r="M355" i="15"/>
  <c r="L355" i="15" s="1"/>
  <c r="J355" i="15" s="1"/>
  <c r="M195" i="15"/>
  <c r="L195" i="15" s="1"/>
  <c r="J195" i="15" s="1"/>
  <c r="M475" i="15"/>
  <c r="L475" i="15" s="1"/>
  <c r="J475" i="15" s="1"/>
  <c r="M309" i="15"/>
  <c r="L309" i="15" s="1"/>
  <c r="J309" i="15" s="1"/>
  <c r="M313" i="15"/>
  <c r="L313" i="15" s="1"/>
  <c r="J313" i="15" s="1"/>
  <c r="M413" i="15"/>
  <c r="L413" i="15" s="1"/>
  <c r="J413" i="15" s="1"/>
  <c r="M194" i="15"/>
  <c r="L194" i="15" s="1"/>
  <c r="J194" i="15" s="1"/>
  <c r="M620" i="15"/>
  <c r="L620" i="15" s="1"/>
  <c r="J620" i="15" s="1"/>
  <c r="M322" i="15"/>
  <c r="L322" i="15" s="1"/>
  <c r="J322" i="15" s="1"/>
  <c r="M308" i="15"/>
  <c r="L308" i="15" s="1"/>
  <c r="J308" i="15" s="1"/>
  <c r="M645" i="15"/>
  <c r="L645" i="15" s="1"/>
  <c r="J645" i="15" s="1"/>
  <c r="M154" i="15"/>
  <c r="L154" i="15" s="1"/>
  <c r="J154" i="15" s="1"/>
  <c r="M476" i="15"/>
  <c r="L476" i="15" s="1"/>
  <c r="J476" i="15" s="1"/>
  <c r="M603" i="15"/>
  <c r="L603" i="15" s="1"/>
  <c r="J603" i="15" s="1"/>
  <c r="M646" i="15"/>
  <c r="L646" i="15" s="1"/>
  <c r="J646" i="15" s="1"/>
  <c r="M647" i="15"/>
  <c r="L647" i="15" s="1"/>
  <c r="J647" i="15" s="1"/>
  <c r="M604" i="15"/>
  <c r="L604" i="15" s="1"/>
  <c r="J604" i="15" s="1"/>
  <c r="M621" i="15"/>
  <c r="L621" i="15" s="1"/>
  <c r="J621" i="15" s="1"/>
  <c r="M479" i="15"/>
  <c r="L479" i="15" s="1"/>
  <c r="J479" i="15" s="1"/>
  <c r="M365" i="15"/>
  <c r="L365" i="15" s="1"/>
  <c r="J365" i="15" s="1"/>
  <c r="M414" i="15"/>
  <c r="L414" i="15" s="1"/>
  <c r="J414" i="15" s="1"/>
  <c r="M415" i="15"/>
  <c r="L415" i="15" s="1"/>
  <c r="J415" i="15" s="1"/>
  <c r="M368" i="15"/>
  <c r="L368" i="15" s="1"/>
  <c r="J368" i="15" s="1"/>
  <c r="M371" i="15"/>
  <c r="L371" i="15" s="1"/>
  <c r="J371" i="15" s="1"/>
  <c r="M247" i="15"/>
  <c r="L247" i="15" s="1"/>
  <c r="J247" i="15" s="1"/>
  <c r="M350" i="15"/>
  <c r="L350" i="15" s="1"/>
  <c r="J350" i="15" s="1"/>
  <c r="M366" i="15"/>
  <c r="L366" i="15" s="1"/>
  <c r="J366" i="15" s="1"/>
  <c r="M503" i="15"/>
  <c r="L503" i="15" s="1"/>
  <c r="J503" i="15" s="1"/>
  <c r="M356" i="15"/>
  <c r="L356" i="15" s="1"/>
  <c r="J356" i="15" s="1"/>
  <c r="M480" i="15"/>
  <c r="L480" i="15" s="1"/>
  <c r="J480" i="15" s="1"/>
  <c r="M481" i="15"/>
  <c r="L481" i="15" s="1"/>
  <c r="J481" i="15" s="1"/>
  <c r="M605" i="15"/>
  <c r="L605" i="15" s="1"/>
  <c r="J605" i="15" s="1"/>
  <c r="M482" i="15"/>
  <c r="L482" i="15" s="1"/>
  <c r="J482" i="15" s="1"/>
  <c r="M483" i="15"/>
  <c r="L483" i="15" s="1"/>
  <c r="J483" i="15" s="1"/>
  <c r="M622" i="15"/>
  <c r="L622" i="15" s="1"/>
  <c r="J622" i="15" s="1"/>
  <c r="M375" i="15"/>
  <c r="L375" i="15" s="1"/>
  <c r="J375" i="15" s="1"/>
  <c r="M417" i="15"/>
  <c r="L417" i="15" s="1"/>
  <c r="J417" i="15" s="1"/>
  <c r="M623" i="15"/>
  <c r="L623" i="15" s="1"/>
  <c r="J623" i="15" s="1"/>
  <c r="M418" i="15"/>
  <c r="L418" i="15" s="1"/>
  <c r="J418" i="15" s="1"/>
  <c r="M452" i="15"/>
  <c r="L452" i="15" s="1"/>
  <c r="J452" i="15" s="1"/>
  <c r="M203" i="15"/>
  <c r="L203" i="15" s="1"/>
  <c r="J203" i="15" s="1"/>
  <c r="M329" i="15"/>
  <c r="L329" i="15" s="1"/>
  <c r="J329" i="15" s="1"/>
  <c r="M204" i="15"/>
  <c r="L204" i="15" s="1"/>
  <c r="J204" i="15" s="1"/>
  <c r="M205" i="15"/>
  <c r="L205" i="15" s="1"/>
  <c r="J205" i="15" s="1"/>
  <c r="M330" i="15"/>
  <c r="L330" i="15" s="1"/>
  <c r="J330" i="15" s="1"/>
  <c r="M453" i="15"/>
  <c r="L453" i="15" s="1"/>
  <c r="J453" i="15" s="1"/>
  <c r="M206" i="15"/>
  <c r="L206" i="15" s="1"/>
  <c r="J206" i="15" s="1"/>
  <c r="M208" i="15"/>
  <c r="L208" i="15" s="1"/>
  <c r="J208" i="15" s="1"/>
  <c r="M649" i="15"/>
  <c r="L649" i="15" s="1"/>
  <c r="J649" i="15" s="1"/>
  <c r="M648" i="15"/>
  <c r="L648" i="15" s="1"/>
  <c r="J648" i="15" s="1"/>
  <c r="M420" i="15"/>
  <c r="L420" i="15" s="1"/>
  <c r="J420" i="15" s="1"/>
  <c r="M504" i="15"/>
  <c r="L504" i="15" s="1"/>
  <c r="J504" i="15" s="1"/>
  <c r="M155" i="15"/>
  <c r="L155" i="15" s="1"/>
  <c r="J155" i="15" s="1"/>
  <c r="M210" i="15"/>
  <c r="L210" i="15" s="1"/>
  <c r="J210" i="15" s="1"/>
  <c r="M484" i="15"/>
  <c r="L484" i="15" s="1"/>
  <c r="J484" i="15" s="1"/>
  <c r="M211" i="15"/>
  <c r="L211" i="15" s="1"/>
  <c r="J211" i="15" s="1"/>
  <c r="M372" i="15"/>
  <c r="L372" i="15" s="1"/>
  <c r="J372" i="15" s="1"/>
  <c r="M212" i="15"/>
  <c r="L212" i="15" s="1"/>
  <c r="J212" i="15" s="1"/>
  <c r="M213" i="15"/>
  <c r="L213" i="15" s="1"/>
  <c r="J213" i="15" s="1"/>
  <c r="M650" i="15"/>
  <c r="L650" i="15" s="1"/>
  <c r="J650" i="15" s="1"/>
  <c r="M314" i="15"/>
  <c r="L314" i="15" s="1"/>
  <c r="J314" i="15" s="1"/>
  <c r="M624" i="15"/>
  <c r="L624" i="15" s="1"/>
  <c r="J624" i="15" s="1"/>
  <c r="M425" i="15"/>
  <c r="L425" i="15" s="1"/>
  <c r="J425" i="15" s="1"/>
  <c r="M296" i="15"/>
  <c r="L296" i="15" s="1"/>
  <c r="J296" i="15" s="1"/>
  <c r="M485" i="15"/>
  <c r="L485" i="15" s="1"/>
  <c r="J485" i="15" s="1"/>
  <c r="M357" i="15"/>
  <c r="L357" i="15" s="1"/>
  <c r="J357" i="15" s="1"/>
  <c r="M265" i="15"/>
  <c r="L265" i="15" s="1"/>
  <c r="J265" i="15" s="1"/>
  <c r="M625" i="15"/>
  <c r="L625" i="15" s="1"/>
  <c r="J625" i="15" s="1"/>
  <c r="M626" i="15"/>
  <c r="L626" i="15" s="1"/>
  <c r="J626" i="15" s="1"/>
  <c r="M218" i="15"/>
  <c r="L218" i="15" s="1"/>
  <c r="J218" i="15" s="1"/>
  <c r="M627" i="15"/>
  <c r="L627" i="15" s="1"/>
  <c r="J627" i="15" s="1"/>
  <c r="M505" i="15"/>
  <c r="L505" i="15" s="1"/>
  <c r="J505" i="15" s="1"/>
  <c r="M651" i="15"/>
  <c r="L651" i="15" s="1"/>
  <c r="J651" i="15" s="1"/>
  <c r="M289" i="15"/>
  <c r="L289" i="15" s="1"/>
  <c r="J289" i="15" s="1"/>
  <c r="M641" i="15"/>
  <c r="L641" i="15" s="1"/>
  <c r="J641" i="15" s="1"/>
  <c r="M506" i="15"/>
  <c r="L506" i="15" s="1"/>
  <c r="J506" i="15" s="1"/>
  <c r="M516" i="15"/>
  <c r="L516" i="15" s="1"/>
  <c r="J516" i="15" s="1"/>
  <c r="M517" i="15"/>
  <c r="L517" i="15" s="1"/>
  <c r="J517" i="15" s="1"/>
  <c r="M148" i="15"/>
  <c r="L148" i="15" s="1"/>
  <c r="J148" i="15" s="1"/>
  <c r="M290" i="15"/>
  <c r="L290" i="15" s="1"/>
  <c r="J290" i="15" s="1"/>
  <c r="M291" i="15"/>
  <c r="L291" i="15" s="1"/>
  <c r="J291" i="15" s="1"/>
  <c r="M524" i="15"/>
  <c r="L524" i="15" s="1"/>
  <c r="J524" i="15" s="1"/>
  <c r="M332" i="15"/>
  <c r="L332" i="15" s="1"/>
  <c r="J332" i="15" s="1"/>
  <c r="M507" i="15"/>
  <c r="L507" i="15" s="1"/>
  <c r="J507" i="15" s="1"/>
  <c r="M429" i="15"/>
  <c r="L429" i="15" s="1"/>
  <c r="J429" i="15" s="1"/>
  <c r="M652" i="15"/>
  <c r="L652" i="15" s="1"/>
  <c r="J652" i="15" s="1"/>
  <c r="M508" i="15"/>
  <c r="L508" i="15" s="1"/>
  <c r="J508" i="15" s="1"/>
  <c r="M222" i="15"/>
  <c r="L222" i="15" s="1"/>
  <c r="J222" i="15" s="1"/>
  <c r="M430" i="15"/>
  <c r="L430" i="15" s="1"/>
  <c r="J430" i="15" s="1"/>
  <c r="M266" i="15"/>
  <c r="L266" i="15" s="1"/>
  <c r="J266" i="15" s="1"/>
  <c r="M334" i="15"/>
  <c r="L334" i="15" s="1"/>
  <c r="J334" i="15" s="1"/>
  <c r="M606" i="15"/>
  <c r="L606" i="15" s="1"/>
  <c r="J606" i="15" s="1"/>
  <c r="M369" i="15"/>
  <c r="L369" i="15" s="1"/>
  <c r="J369" i="15" s="1"/>
  <c r="M529" i="15"/>
  <c r="L529" i="15" s="1"/>
  <c r="J529" i="15" s="1"/>
  <c r="M676" i="15"/>
  <c r="L676" i="15" s="1"/>
  <c r="J676" i="15" s="1"/>
  <c r="M431" i="15"/>
  <c r="L431" i="15" s="1"/>
  <c r="J431" i="15" s="1"/>
  <c r="M225" i="15"/>
  <c r="L225" i="15" s="1"/>
  <c r="J225" i="15" s="1"/>
  <c r="M607" i="15"/>
  <c r="L607" i="15" s="1"/>
  <c r="J607" i="15" s="1"/>
  <c r="M276" i="15"/>
  <c r="L276" i="15" s="1"/>
  <c r="J276" i="15" s="1"/>
  <c r="M292" i="15"/>
  <c r="L292" i="15" s="1"/>
  <c r="J292" i="15" s="1"/>
  <c r="M628" i="15"/>
  <c r="L628" i="15" s="1"/>
  <c r="J628" i="15" s="1"/>
  <c r="M509" i="15"/>
  <c r="L509" i="15" s="1"/>
  <c r="J509" i="15" s="1"/>
  <c r="M590" i="15"/>
  <c r="L590" i="15" s="1"/>
  <c r="J590" i="15" s="1"/>
  <c r="M591" i="15"/>
  <c r="L591" i="15" s="1"/>
  <c r="J591" i="15" s="1"/>
  <c r="M228" i="15"/>
  <c r="L228" i="15" s="1"/>
  <c r="J228" i="15" s="1"/>
  <c r="M432" i="15"/>
  <c r="L432" i="15" s="1"/>
  <c r="J432" i="15" s="1"/>
  <c r="M229" i="15"/>
  <c r="L229" i="15" s="1"/>
  <c r="J229" i="15" s="1"/>
  <c r="M230" i="15"/>
  <c r="L230" i="15" s="1"/>
  <c r="J230" i="15" s="1"/>
  <c r="M231" i="15"/>
  <c r="L231" i="15" s="1"/>
  <c r="J231" i="15" s="1"/>
  <c r="M531" i="15"/>
  <c r="L531" i="15" s="1"/>
  <c r="J531" i="15" s="1"/>
  <c r="M525" i="15"/>
  <c r="L525" i="15" s="1"/>
  <c r="J525" i="15" s="1"/>
  <c r="M293" i="15"/>
  <c r="L293" i="15" s="1"/>
  <c r="J293" i="15" s="1"/>
  <c r="M510" i="15"/>
  <c r="L510" i="15" s="1"/>
  <c r="J510" i="15" s="1"/>
  <c r="M677" i="15"/>
  <c r="L677" i="15" s="1"/>
  <c r="J677" i="15" s="1"/>
  <c r="M608" i="15"/>
  <c r="L608" i="15" s="1"/>
  <c r="J608" i="15" s="1"/>
  <c r="M433" i="15"/>
  <c r="L433" i="15" s="1"/>
  <c r="J433" i="15" s="1"/>
  <c r="M367" i="15"/>
  <c r="L367" i="15" s="1"/>
  <c r="J367" i="15" s="1"/>
  <c r="M486" i="15"/>
  <c r="L486" i="15" s="1"/>
  <c r="J486" i="15" s="1"/>
  <c r="M434" i="15"/>
  <c r="L434" i="15" s="1"/>
  <c r="J434" i="15" s="1"/>
  <c r="M435" i="15"/>
  <c r="L435" i="15" s="1"/>
  <c r="J435" i="15" s="1"/>
  <c r="M437" i="15"/>
  <c r="L437" i="15" s="1"/>
  <c r="J437" i="15" s="1"/>
  <c r="M245" i="15"/>
  <c r="L245" i="15" s="1"/>
  <c r="J245" i="15" s="1"/>
  <c r="M232" i="15"/>
  <c r="L232" i="15" s="1"/>
  <c r="J232" i="15" s="1"/>
  <c r="M343" i="15"/>
  <c r="L343" i="15" s="1"/>
  <c r="J343" i="15" s="1"/>
  <c r="M373" i="15"/>
  <c r="L373" i="15" s="1"/>
  <c r="J373" i="15" s="1"/>
  <c r="M294" i="15"/>
  <c r="L294" i="15" s="1"/>
  <c r="J294" i="15" s="1"/>
  <c r="M269" i="15"/>
  <c r="L269" i="15" s="1"/>
  <c r="J269" i="15" s="1"/>
  <c r="M233" i="15"/>
  <c r="L233" i="15" s="1"/>
  <c r="J233" i="15" s="1"/>
  <c r="M235" i="15"/>
  <c r="L235" i="15" s="1"/>
  <c r="J235" i="15" s="1"/>
  <c r="M592" i="15"/>
  <c r="L592" i="15" s="1"/>
  <c r="J592" i="15" s="1"/>
  <c r="M236" i="15"/>
  <c r="L236" i="15" s="1"/>
  <c r="J236" i="15" s="1"/>
  <c r="M238" i="15"/>
  <c r="L238" i="15" s="1"/>
  <c r="J238" i="15" s="1"/>
  <c r="M240" i="15"/>
  <c r="L240" i="15" s="1"/>
  <c r="J240" i="15" s="1"/>
  <c r="M241" i="15"/>
  <c r="L241" i="15" s="1"/>
  <c r="J241" i="15" s="1"/>
  <c r="M358" i="15"/>
  <c r="L358" i="15" s="1"/>
  <c r="J358" i="15" s="1"/>
  <c r="M653" i="15"/>
  <c r="L653" i="15" s="1"/>
  <c r="J653" i="15" s="1"/>
  <c r="M242" i="15"/>
  <c r="L242" i="15" s="1"/>
  <c r="J242" i="15" s="1"/>
  <c r="M244" i="15"/>
  <c r="L244" i="15" s="1"/>
  <c r="J244" i="15" s="1"/>
  <c r="M339" i="15"/>
  <c r="L339" i="15" s="1"/>
  <c r="J339" i="15" s="1"/>
  <c r="M511" i="15"/>
  <c r="L511" i="15" s="1"/>
  <c r="J511" i="15" s="1"/>
  <c r="M532" i="15"/>
  <c r="L532" i="15" s="1"/>
  <c r="J532" i="15" s="1"/>
  <c r="M629" i="15"/>
  <c r="L629" i="15" s="1"/>
  <c r="J629" i="15" s="1"/>
  <c r="M630" i="15"/>
  <c r="L630" i="15" s="1"/>
  <c r="J630" i="15" s="1"/>
  <c r="M678" i="15"/>
  <c r="L678" i="15" s="1"/>
  <c r="J678" i="15" s="1"/>
  <c r="M438" i="15"/>
  <c r="L438" i="15" s="1"/>
  <c r="J438" i="15" s="1"/>
  <c r="M631" i="15"/>
  <c r="L631" i="15" s="1"/>
  <c r="J631" i="15" s="1"/>
  <c r="M585" i="15"/>
  <c r="L585" i="15" s="1"/>
  <c r="J585" i="15" s="1"/>
  <c r="M512" i="15"/>
  <c r="L512" i="15" s="1"/>
  <c r="J512" i="15" s="1"/>
  <c r="M632" i="15"/>
  <c r="L632" i="15" s="1"/>
  <c r="J632" i="15" s="1"/>
  <c r="M593" i="15"/>
  <c r="L593" i="15" s="1"/>
  <c r="J593" i="15" s="1"/>
  <c r="M248" i="15"/>
  <c r="L248" i="15" s="1"/>
  <c r="J248" i="15" s="1"/>
  <c r="M374" i="15"/>
  <c r="L374" i="15" s="1"/>
  <c r="J374" i="15" s="1"/>
  <c r="M609" i="15"/>
  <c r="L609" i="15" s="1"/>
  <c r="J609" i="15" s="1"/>
  <c r="M613" i="15"/>
  <c r="L613" i="15" s="1"/>
  <c r="J613" i="15" s="1"/>
  <c r="M633" i="15"/>
  <c r="L633" i="15" s="1"/>
  <c r="J633" i="15" s="1"/>
  <c r="M277" i="15"/>
  <c r="L277" i="15" s="1"/>
  <c r="J277" i="15" s="1"/>
  <c r="M654" i="15"/>
  <c r="L654" i="15" s="1"/>
  <c r="J654" i="15" s="1"/>
  <c r="M594" i="15"/>
  <c r="L594" i="15" s="1"/>
  <c r="J594" i="15" s="1"/>
  <c r="M270" i="15"/>
  <c r="L270" i="15" s="1"/>
  <c r="J270" i="15" s="1"/>
  <c r="M454" i="15"/>
  <c r="L454" i="15" s="1"/>
  <c r="J454" i="15" s="1"/>
  <c r="M634" i="15"/>
  <c r="L634" i="15" s="1"/>
  <c r="J634" i="15" s="1"/>
  <c r="M487" i="15"/>
  <c r="L487" i="15" s="1"/>
  <c r="J487" i="15" s="1"/>
  <c r="M513" i="15"/>
  <c r="L513" i="15" s="1"/>
  <c r="J513" i="15" s="1"/>
  <c r="M351" i="15"/>
  <c r="L351" i="15" s="1"/>
  <c r="J351" i="15" s="1"/>
  <c r="M444" i="15"/>
  <c r="L444" i="15" s="1"/>
  <c r="J444" i="15" s="1"/>
  <c r="M278" i="15"/>
  <c r="L278" i="15" s="1"/>
  <c r="J278" i="15" s="1"/>
  <c r="M614" i="15"/>
  <c r="L614" i="15" s="1"/>
  <c r="J614" i="15" s="1"/>
  <c r="M642" i="15"/>
  <c r="L642" i="15" s="1"/>
  <c r="J642" i="15" s="1"/>
  <c r="M518" i="15"/>
  <c r="L518" i="15" s="1"/>
  <c r="J518" i="15" s="1"/>
  <c r="M655" i="15"/>
  <c r="L655" i="15" s="1"/>
  <c r="J655" i="15" s="1"/>
  <c r="M595" i="15"/>
  <c r="L595" i="15" s="1"/>
  <c r="J595" i="15" s="1"/>
  <c r="M254" i="15"/>
  <c r="L254" i="15" s="1"/>
  <c r="J254" i="15" s="1"/>
  <c r="M530" i="15"/>
  <c r="L530" i="15" s="1"/>
  <c r="J530" i="15" s="1"/>
  <c r="M255" i="15"/>
  <c r="L255" i="15" s="1"/>
  <c r="J255" i="15" s="1"/>
  <c r="M256" i="15"/>
  <c r="L256" i="15" s="1"/>
  <c r="J256" i="15" s="1"/>
  <c r="M258" i="15"/>
  <c r="L258" i="15" s="1"/>
  <c r="J258" i="15" s="1"/>
  <c r="M273" i="15"/>
  <c r="L273" i="15" s="1"/>
  <c r="J273" i="15" s="1"/>
  <c r="M260" i="15"/>
  <c r="L260" i="15" s="1"/>
  <c r="J260" i="15" s="1"/>
  <c r="M635" i="15"/>
  <c r="L635" i="15" s="1"/>
  <c r="J635" i="15" s="1"/>
  <c r="M156" i="15"/>
  <c r="L156" i="15" s="1"/>
  <c r="J156" i="15" s="1"/>
  <c r="M488" i="15"/>
  <c r="L488" i="15" s="1"/>
  <c r="J488" i="15" s="1"/>
  <c r="M636" i="15"/>
  <c r="L636" i="15" s="1"/>
  <c r="J636" i="15" s="1"/>
  <c r="M157" i="15"/>
  <c r="L157" i="15" s="1"/>
  <c r="J157" i="15" s="1"/>
  <c r="M680" i="15"/>
  <c r="L680" i="15" s="1"/>
  <c r="J680" i="15" s="1"/>
  <c r="M684" i="15"/>
  <c r="L684" i="15" s="1"/>
  <c r="J684" i="15" s="1"/>
  <c r="M656" i="15"/>
  <c r="L656" i="15" s="1"/>
  <c r="J656" i="15" s="1"/>
  <c r="M514" i="15"/>
  <c r="L514" i="15" s="1"/>
  <c r="J514" i="15" s="1"/>
  <c r="M451" i="15"/>
  <c r="L451" i="15" s="1"/>
  <c r="J451" i="15" s="1"/>
  <c r="M271" i="15"/>
  <c r="L271" i="15" s="1"/>
  <c r="J271" i="15" s="1"/>
  <c r="M106" i="15"/>
  <c r="L106" i="15" s="1"/>
  <c r="J106" i="15" s="1"/>
  <c r="M108" i="15"/>
  <c r="L108" i="15" s="1"/>
  <c r="J108" i="15" s="1"/>
  <c r="M109" i="15"/>
  <c r="L109" i="15" s="1"/>
  <c r="J109" i="15" s="1"/>
  <c r="M111" i="15"/>
  <c r="L111" i="15" s="1"/>
  <c r="J111" i="15" s="1"/>
  <c r="M112" i="15"/>
  <c r="L112" i="15" s="1"/>
  <c r="J112" i="15" s="1"/>
  <c r="M113" i="15"/>
  <c r="L113" i="15" s="1"/>
  <c r="J113" i="15" s="1"/>
  <c r="M115" i="15"/>
  <c r="L115" i="15" s="1"/>
  <c r="J115" i="15" s="1"/>
  <c r="M116" i="15"/>
  <c r="L116" i="15" s="1"/>
  <c r="J116" i="15" s="1"/>
  <c r="C117" i="15"/>
  <c r="M117" i="15" s="1"/>
  <c r="L117" i="15" s="1"/>
  <c r="J117" i="15" s="1"/>
  <c r="D117" i="15"/>
  <c r="E117" i="15"/>
  <c r="F117" i="15"/>
  <c r="G117" i="15"/>
  <c r="H117" i="15"/>
  <c r="M118" i="15"/>
  <c r="L118" i="15" s="1"/>
  <c r="J118" i="15" s="1"/>
  <c r="M119" i="15"/>
  <c r="L119" i="15" s="1"/>
  <c r="J119" i="15" s="1"/>
  <c r="M120" i="15"/>
  <c r="L120" i="15" s="1"/>
  <c r="J120" i="15" s="1"/>
  <c r="M121" i="15"/>
  <c r="L121" i="15" s="1"/>
  <c r="J121" i="15" s="1"/>
  <c r="M122" i="15"/>
  <c r="L122" i="15" s="1"/>
  <c r="J122" i="15" s="1"/>
  <c r="M123" i="15"/>
  <c r="L123" i="15" s="1"/>
  <c r="J123" i="15" s="1"/>
  <c r="M124" i="15"/>
  <c r="L124" i="15" s="1"/>
  <c r="J124" i="15" s="1"/>
  <c r="M125" i="15"/>
  <c r="L125" i="15" s="1"/>
  <c r="J125" i="15" s="1"/>
  <c r="M126" i="15"/>
  <c r="L126" i="15" s="1"/>
  <c r="J126" i="15" s="1"/>
  <c r="M127" i="15"/>
  <c r="L127" i="15" s="1"/>
  <c r="J127" i="15" s="1"/>
  <c r="M128" i="15"/>
  <c r="L128" i="15" s="1"/>
  <c r="J128" i="15" s="1"/>
  <c r="M129" i="15"/>
  <c r="L129" i="15" s="1"/>
  <c r="J129" i="15" s="1"/>
  <c r="M130" i="15"/>
  <c r="L130" i="15" s="1"/>
  <c r="J130" i="15" s="1"/>
  <c r="M131" i="15"/>
  <c r="L131" i="15" s="1"/>
  <c r="J131" i="15" s="1"/>
  <c r="M132" i="15"/>
  <c r="L132" i="15" s="1"/>
  <c r="J132" i="15" s="1"/>
  <c r="M133" i="15"/>
  <c r="L133" i="15" s="1"/>
  <c r="J133" i="15" s="1"/>
  <c r="M134" i="15"/>
  <c r="L134" i="15" s="1"/>
  <c r="J134" i="15" s="1"/>
  <c r="M135" i="15"/>
  <c r="L135" i="15" s="1"/>
  <c r="J135" i="15" s="1"/>
  <c r="M136" i="15"/>
  <c r="L136" i="15" s="1"/>
  <c r="J136" i="15" s="1"/>
  <c r="M137" i="15"/>
  <c r="L137" i="15" s="1"/>
  <c r="J137" i="15" s="1"/>
  <c r="M138" i="15"/>
  <c r="L138" i="15" s="1"/>
  <c r="J138" i="15" s="1"/>
  <c r="M139" i="15"/>
  <c r="L139" i="15" s="1"/>
  <c r="J139" i="15" s="1"/>
  <c r="M140" i="15"/>
  <c r="L140" i="15" s="1"/>
  <c r="J140" i="15" s="1"/>
  <c r="M2" i="15"/>
  <c r="L2" i="15" s="1"/>
  <c r="J2" i="15" s="1"/>
  <c r="M3" i="15"/>
  <c r="L3" i="15" s="1"/>
  <c r="J3" i="15" s="1"/>
  <c r="M4" i="15"/>
  <c r="L4" i="15" s="1"/>
  <c r="J4" i="15" s="1"/>
  <c r="M5" i="15"/>
  <c r="L5" i="15" s="1"/>
  <c r="J5" i="15" s="1"/>
  <c r="M6" i="15"/>
  <c r="L6" i="15" s="1"/>
  <c r="J6" i="15" s="1"/>
  <c r="M7" i="15"/>
  <c r="L7" i="15" s="1"/>
  <c r="J7" i="15" s="1"/>
  <c r="M8" i="15"/>
  <c r="L8" i="15" s="1"/>
  <c r="J8" i="15" s="1"/>
  <c r="M9" i="15"/>
  <c r="L9" i="15" s="1"/>
  <c r="J9" i="15" s="1"/>
  <c r="M10" i="15"/>
  <c r="L10" i="15" s="1"/>
  <c r="J10" i="15" s="1"/>
  <c r="M11" i="15"/>
  <c r="L11" i="15" s="1"/>
  <c r="J11" i="15" s="1"/>
  <c r="M12" i="15"/>
  <c r="L12" i="15" s="1"/>
  <c r="J12" i="15" s="1"/>
  <c r="M13" i="15"/>
  <c r="L13" i="15" s="1"/>
  <c r="J13" i="15" s="1"/>
  <c r="M14" i="15"/>
  <c r="L14" i="15" s="1"/>
  <c r="J14" i="15" s="1"/>
  <c r="M15" i="15"/>
  <c r="L15" i="15" s="1"/>
  <c r="J15" i="15" s="1"/>
  <c r="M16" i="15"/>
  <c r="L16" i="15" s="1"/>
  <c r="J16" i="15" s="1"/>
  <c r="M17" i="15"/>
  <c r="L17" i="15" s="1"/>
  <c r="J17" i="15" s="1"/>
  <c r="M18" i="15"/>
  <c r="L18" i="15" s="1"/>
  <c r="J18" i="15" s="1"/>
  <c r="M19" i="15"/>
  <c r="L19" i="15" s="1"/>
  <c r="J19" i="15" s="1"/>
  <c r="M20" i="15"/>
  <c r="L20" i="15" s="1"/>
  <c r="J20" i="15" s="1"/>
  <c r="M21" i="15"/>
  <c r="L21" i="15" s="1"/>
  <c r="J21" i="15" s="1"/>
  <c r="M22" i="15"/>
  <c r="L22" i="15" s="1"/>
  <c r="J22" i="15" s="1"/>
  <c r="M23" i="15"/>
  <c r="L23" i="15" s="1"/>
  <c r="J23" i="15" s="1"/>
  <c r="M24" i="15"/>
  <c r="L24" i="15" s="1"/>
  <c r="J24" i="15" s="1"/>
  <c r="M25" i="15"/>
  <c r="L25" i="15" s="1"/>
  <c r="J25" i="15" s="1"/>
  <c r="M26" i="15"/>
  <c r="L26" i="15" s="1"/>
  <c r="J26" i="15" s="1"/>
  <c r="M27" i="15"/>
  <c r="L27" i="15" s="1"/>
  <c r="J27" i="15" s="1"/>
  <c r="M28" i="15"/>
  <c r="L28" i="15" s="1"/>
  <c r="J28" i="15" s="1"/>
  <c r="M29" i="15"/>
  <c r="L29" i="15" s="1"/>
  <c r="J29" i="15" s="1"/>
  <c r="M30" i="15"/>
  <c r="L30" i="15" s="1"/>
  <c r="J30" i="15" s="1"/>
  <c r="M31" i="15"/>
  <c r="L31" i="15" s="1"/>
  <c r="J31" i="15" s="1"/>
  <c r="M32" i="15"/>
  <c r="L32" i="15" s="1"/>
  <c r="J32" i="15" s="1"/>
  <c r="M33" i="15"/>
  <c r="L33" i="15" s="1"/>
  <c r="J33" i="15" s="1"/>
  <c r="M34" i="15"/>
  <c r="L34" i="15" s="1"/>
  <c r="J34" i="15" s="1"/>
  <c r="M35" i="15"/>
  <c r="L35" i="15" s="1"/>
  <c r="J35" i="15" s="1"/>
  <c r="M36" i="15"/>
  <c r="L36" i="15" s="1"/>
  <c r="J36" i="15" s="1"/>
  <c r="M37" i="15"/>
  <c r="L37" i="15" s="1"/>
  <c r="J37" i="15" s="1"/>
  <c r="M38" i="15"/>
  <c r="L38" i="15" s="1"/>
  <c r="J38" i="15" s="1"/>
  <c r="M39" i="15"/>
  <c r="L39" i="15" s="1"/>
  <c r="J39" i="15" s="1"/>
  <c r="M40" i="15"/>
  <c r="L40" i="15" s="1"/>
  <c r="J40" i="15" s="1"/>
  <c r="M41" i="15"/>
  <c r="L41" i="15" s="1"/>
  <c r="J41" i="15" s="1"/>
  <c r="M42" i="15"/>
  <c r="L42" i="15" s="1"/>
  <c r="J42" i="15" s="1"/>
  <c r="M43" i="15"/>
  <c r="L43" i="15" s="1"/>
  <c r="J43" i="15" s="1"/>
  <c r="M44" i="15"/>
  <c r="L44" i="15" s="1"/>
  <c r="J44" i="15" s="1"/>
  <c r="M45" i="15"/>
  <c r="L45" i="15" s="1"/>
  <c r="J45" i="15" s="1"/>
  <c r="M46" i="15"/>
  <c r="L46" i="15" s="1"/>
  <c r="J46" i="15" s="1"/>
  <c r="M47" i="15"/>
  <c r="L47" i="15" s="1"/>
  <c r="J47" i="15" s="1"/>
  <c r="M48" i="15"/>
  <c r="L48" i="15" s="1"/>
  <c r="J48" i="15" s="1"/>
  <c r="M49" i="15"/>
  <c r="L49" i="15" s="1"/>
  <c r="J49" i="15" s="1"/>
  <c r="M50" i="15"/>
  <c r="L50" i="15" s="1"/>
  <c r="J50" i="15" s="1"/>
  <c r="M51" i="15"/>
  <c r="L51" i="15" s="1"/>
  <c r="J51" i="15" s="1"/>
  <c r="M52" i="15"/>
  <c r="L52" i="15" s="1"/>
  <c r="J52" i="15" s="1"/>
  <c r="M53" i="15"/>
  <c r="L53" i="15" s="1"/>
  <c r="J53" i="15" s="1"/>
  <c r="M54" i="15"/>
  <c r="L54" i="15" s="1"/>
  <c r="J54" i="15" s="1"/>
  <c r="M55" i="15"/>
  <c r="L55" i="15" s="1"/>
  <c r="J55" i="15" s="1"/>
  <c r="M56" i="15"/>
  <c r="L56" i="15" s="1"/>
  <c r="J56" i="15" s="1"/>
  <c r="M57" i="15"/>
  <c r="L57" i="15" s="1"/>
  <c r="J57" i="15" s="1"/>
  <c r="M58" i="15"/>
  <c r="L58" i="15" s="1"/>
  <c r="J58" i="15" s="1"/>
  <c r="M59" i="15"/>
  <c r="L59" i="15" s="1"/>
  <c r="J59" i="15" s="1"/>
  <c r="M60" i="15"/>
  <c r="L60" i="15" s="1"/>
  <c r="J60" i="15" s="1"/>
  <c r="M61" i="15"/>
  <c r="L61" i="15" s="1"/>
  <c r="J61" i="15" s="1"/>
  <c r="M62" i="15"/>
  <c r="L62" i="15" s="1"/>
  <c r="J62" i="15" s="1"/>
  <c r="M63" i="15"/>
  <c r="L63" i="15" s="1"/>
  <c r="J63" i="15" s="1"/>
  <c r="M64" i="15"/>
  <c r="L64" i="15" s="1"/>
  <c r="J64" i="15" s="1"/>
  <c r="M65" i="15"/>
  <c r="L65" i="15" s="1"/>
  <c r="J65" i="15" s="1"/>
  <c r="M66" i="15"/>
  <c r="L66" i="15" s="1"/>
  <c r="J66" i="15" s="1"/>
  <c r="M67" i="15"/>
  <c r="L67" i="15" s="1"/>
  <c r="J67" i="15" s="1"/>
  <c r="M68" i="15"/>
  <c r="L68" i="15" s="1"/>
  <c r="J68" i="15" s="1"/>
  <c r="M69" i="15"/>
  <c r="L69" i="15" s="1"/>
  <c r="J69" i="15" s="1"/>
  <c r="M70" i="15"/>
  <c r="L70" i="15" s="1"/>
  <c r="J70" i="15" s="1"/>
  <c r="M71" i="15"/>
  <c r="L71" i="15" s="1"/>
  <c r="J71" i="15" s="1"/>
  <c r="M72" i="15"/>
  <c r="L72" i="15" s="1"/>
  <c r="J72" i="15" s="1"/>
  <c r="M73" i="15"/>
  <c r="L73" i="15" s="1"/>
  <c r="J73" i="15" s="1"/>
  <c r="M74" i="15"/>
  <c r="L74" i="15" s="1"/>
  <c r="J74" i="15" s="1"/>
  <c r="M75" i="15"/>
  <c r="L75" i="15" s="1"/>
  <c r="J75" i="15" s="1"/>
  <c r="M76" i="15"/>
  <c r="L76" i="15" s="1"/>
  <c r="J76" i="15" s="1"/>
  <c r="M77" i="15"/>
  <c r="L77" i="15" s="1"/>
  <c r="J77" i="15" s="1"/>
  <c r="M78" i="15"/>
  <c r="L78" i="15" s="1"/>
  <c r="J78" i="15" s="1"/>
  <c r="M79" i="15"/>
  <c r="L79" i="15" s="1"/>
  <c r="J79" i="15" s="1"/>
  <c r="M80" i="15"/>
  <c r="L80" i="15" s="1"/>
  <c r="J80" i="15" s="1"/>
  <c r="M82" i="15"/>
  <c r="L82" i="15" s="1"/>
  <c r="J82" i="15" s="1"/>
  <c r="M83" i="15"/>
  <c r="L83" i="15" s="1"/>
  <c r="J83" i="15" s="1"/>
  <c r="M84" i="15"/>
  <c r="L84" i="15" s="1"/>
  <c r="J84" i="15" s="1"/>
  <c r="M86" i="15"/>
  <c r="L86" i="15" s="1"/>
  <c r="J86" i="15" s="1"/>
  <c r="M87" i="15"/>
  <c r="L87" i="15" s="1"/>
  <c r="J87" i="15" s="1"/>
  <c r="M88" i="15"/>
  <c r="L88" i="15" s="1"/>
  <c r="J88" i="15" s="1"/>
  <c r="M89" i="15"/>
  <c r="L89" i="15" s="1"/>
  <c r="J89" i="15" s="1"/>
  <c r="M91" i="15"/>
  <c r="L91" i="15" s="1"/>
  <c r="J91" i="15" s="1"/>
  <c r="M94" i="15"/>
  <c r="L94" i="15" s="1"/>
  <c r="J94" i="15" s="1"/>
  <c r="M95" i="15"/>
  <c r="L95" i="15" s="1"/>
  <c r="J95" i="15" s="1"/>
  <c r="M96" i="15"/>
  <c r="L96" i="15" s="1"/>
  <c r="J96" i="15" s="1"/>
  <c r="M97" i="15"/>
  <c r="L97" i="15" s="1"/>
  <c r="J97" i="15" s="1"/>
  <c r="M98" i="15"/>
  <c r="L98" i="15" s="1"/>
  <c r="J98" i="15" s="1"/>
  <c r="M99" i="15"/>
  <c r="L99" i="15" s="1"/>
  <c r="J99" i="15" s="1"/>
  <c r="M100" i="15"/>
  <c r="L100" i="15" s="1"/>
  <c r="J100" i="15" s="1"/>
  <c r="M101" i="15"/>
  <c r="L101" i="15" s="1"/>
  <c r="J101" i="15" s="1"/>
  <c r="M104" i="15"/>
  <c r="L104" i="15" s="1"/>
  <c r="J104" i="15" s="1"/>
  <c r="M481" i="12" l="1"/>
  <c r="L481" i="12" s="1"/>
  <c r="J481" i="12" s="1"/>
  <c r="M480" i="12"/>
  <c r="L480" i="12" s="1"/>
  <c r="J480" i="12" s="1"/>
  <c r="M479" i="12"/>
  <c r="L479" i="12" s="1"/>
  <c r="J479" i="12" s="1"/>
  <c r="M478" i="12"/>
  <c r="L478" i="12" s="1"/>
  <c r="J478" i="12" s="1"/>
  <c r="M477" i="12"/>
  <c r="L477" i="12" s="1"/>
  <c r="J477" i="12" s="1"/>
  <c r="M476" i="12"/>
  <c r="L476" i="12" s="1"/>
  <c r="J476" i="12" s="1"/>
  <c r="M475" i="12"/>
  <c r="L475" i="12" s="1"/>
  <c r="J475" i="12" s="1"/>
  <c r="M474" i="12"/>
  <c r="L474" i="12" s="1"/>
  <c r="J474" i="12" s="1"/>
  <c r="M473" i="12"/>
  <c r="L473" i="12" s="1"/>
  <c r="J473" i="12" s="1"/>
  <c r="M472" i="12"/>
  <c r="L472" i="12" s="1"/>
  <c r="J472" i="12" s="1"/>
  <c r="M471" i="12"/>
  <c r="L471" i="12" s="1"/>
  <c r="J471" i="12" s="1"/>
  <c r="M470" i="12"/>
  <c r="L470" i="12" s="1"/>
  <c r="J470" i="12" s="1"/>
  <c r="M469" i="12"/>
  <c r="L469" i="12" s="1"/>
  <c r="J469" i="12" s="1"/>
  <c r="M468" i="12"/>
  <c r="L468" i="12" s="1"/>
  <c r="J468" i="12" s="1"/>
  <c r="M466" i="12"/>
  <c r="L466" i="12" s="1"/>
  <c r="J466" i="12" s="1"/>
  <c r="M465" i="12"/>
  <c r="L465" i="12" s="1"/>
  <c r="J465" i="12" s="1"/>
  <c r="M464" i="12"/>
  <c r="L464" i="12" s="1"/>
  <c r="J464" i="12" s="1"/>
  <c r="M463" i="12"/>
  <c r="L463" i="12" s="1"/>
  <c r="J463" i="12" s="1"/>
  <c r="M462" i="12"/>
  <c r="L462" i="12" s="1"/>
  <c r="J462" i="12" s="1"/>
  <c r="M461" i="12"/>
  <c r="L461" i="12" s="1"/>
  <c r="J461" i="12" s="1"/>
  <c r="M460" i="12"/>
  <c r="L460" i="12" s="1"/>
  <c r="J460" i="12" s="1"/>
  <c r="M459" i="12"/>
  <c r="L459" i="12" s="1"/>
  <c r="J459" i="12" s="1"/>
  <c r="M458" i="12"/>
  <c r="L458" i="12" s="1"/>
  <c r="J458" i="12" s="1"/>
  <c r="M457" i="12"/>
  <c r="L457" i="12" s="1"/>
  <c r="J457" i="12" s="1"/>
  <c r="M456" i="12"/>
  <c r="L456" i="12" s="1"/>
  <c r="J456" i="12" s="1"/>
  <c r="M455" i="12"/>
  <c r="L455" i="12" s="1"/>
  <c r="J455" i="12" s="1"/>
  <c r="M454" i="12"/>
  <c r="L454" i="12" s="1"/>
  <c r="J454" i="12" s="1"/>
  <c r="M453" i="12"/>
  <c r="L453" i="12" s="1"/>
  <c r="J453" i="12" s="1"/>
  <c r="M452" i="12"/>
  <c r="L452" i="12" s="1"/>
  <c r="J452" i="12" s="1"/>
  <c r="M451" i="12"/>
  <c r="L451" i="12" s="1"/>
  <c r="J451" i="12" s="1"/>
  <c r="M450" i="12"/>
  <c r="L450" i="12" s="1"/>
  <c r="J450" i="12" s="1"/>
  <c r="M449" i="12"/>
  <c r="L449" i="12" s="1"/>
  <c r="J449" i="12" s="1"/>
  <c r="M448" i="12"/>
  <c r="L448" i="12" s="1"/>
  <c r="J448" i="12" s="1"/>
  <c r="M447" i="12"/>
  <c r="L447" i="12" s="1"/>
  <c r="J447" i="12" s="1"/>
  <c r="M483" i="12"/>
  <c r="L483" i="12" s="1"/>
  <c r="J483" i="12" s="1"/>
  <c r="H467" i="12"/>
  <c r="G467" i="12"/>
  <c r="F467" i="12"/>
  <c r="E467" i="12"/>
  <c r="D467" i="12"/>
  <c r="C467" i="12"/>
  <c r="M467" i="12" s="1"/>
  <c r="L467" i="12" s="1"/>
  <c r="J467" i="12" s="1"/>
  <c r="M482" i="12" l="1"/>
  <c r="L482" i="12" s="1"/>
  <c r="J482" i="12" s="1"/>
  <c r="M484" i="12"/>
  <c r="L484" i="12" s="1"/>
  <c r="J484" i="12" s="1"/>
  <c r="M485" i="12"/>
  <c r="L485" i="12" s="1"/>
  <c r="J485" i="12" s="1"/>
  <c r="M486" i="12"/>
  <c r="L486" i="12" s="1"/>
  <c r="J486" i="12" s="1"/>
  <c r="M487" i="12"/>
  <c r="L487" i="12" s="1"/>
  <c r="J487" i="12" s="1"/>
  <c r="M488" i="12"/>
  <c r="L488" i="12" s="1"/>
  <c r="J488" i="12" s="1"/>
  <c r="M489" i="12"/>
  <c r="L489" i="12" s="1"/>
  <c r="J489" i="12" s="1"/>
  <c r="M490" i="12"/>
  <c r="L490" i="12" s="1"/>
  <c r="J490" i="12" s="1"/>
  <c r="M491" i="12"/>
  <c r="L491" i="12" s="1"/>
  <c r="J491" i="12" s="1"/>
  <c r="M492" i="12"/>
  <c r="L492" i="12" s="1"/>
  <c r="J492" i="12" s="1"/>
  <c r="M493" i="12"/>
  <c r="L493" i="12" s="1"/>
  <c r="J493" i="12" s="1"/>
  <c r="M494" i="12"/>
  <c r="L494" i="12" s="1"/>
  <c r="J494" i="12" s="1"/>
  <c r="M495" i="12"/>
  <c r="L495" i="12" s="1"/>
  <c r="J495" i="12" s="1"/>
  <c r="M496" i="12"/>
  <c r="L496" i="12" s="1"/>
  <c r="J496" i="12" s="1"/>
  <c r="M497" i="12"/>
  <c r="L497" i="12" s="1"/>
  <c r="J497" i="12" s="1"/>
  <c r="M498" i="12"/>
  <c r="L498" i="12" s="1"/>
  <c r="J498" i="12" s="1"/>
  <c r="M499" i="12"/>
  <c r="L499" i="12" s="1"/>
  <c r="J499" i="12" s="1"/>
  <c r="M500" i="12"/>
  <c r="L500" i="12" s="1"/>
  <c r="J500" i="12" s="1"/>
  <c r="M501" i="12"/>
  <c r="L501" i="12" s="1"/>
  <c r="J501" i="12" s="1"/>
  <c r="M502" i="12"/>
  <c r="L502" i="12" s="1"/>
  <c r="J502" i="12" s="1"/>
  <c r="M503" i="12"/>
  <c r="L503" i="12" s="1"/>
  <c r="J503" i="12" s="1"/>
  <c r="M504" i="12"/>
  <c r="L504" i="12" s="1"/>
  <c r="J504" i="12" s="1"/>
  <c r="M505" i="12"/>
  <c r="L505" i="12" s="1"/>
  <c r="J505" i="12" s="1"/>
  <c r="M506" i="12"/>
  <c r="L506" i="12" s="1"/>
  <c r="J506" i="12" s="1"/>
  <c r="M507" i="12"/>
  <c r="L507" i="12" s="1"/>
  <c r="J507" i="12" s="1"/>
  <c r="M508" i="12"/>
  <c r="L508" i="12" s="1"/>
  <c r="J508" i="12" s="1"/>
  <c r="M509" i="12"/>
  <c r="L509" i="12" s="1"/>
  <c r="J509" i="12" s="1"/>
  <c r="M510" i="12"/>
  <c r="L510" i="12" s="1"/>
  <c r="J510" i="12" s="1"/>
  <c r="M511" i="12"/>
  <c r="L511" i="12" s="1"/>
  <c r="J511" i="12" s="1"/>
  <c r="M512" i="12"/>
  <c r="L512" i="12" s="1"/>
  <c r="J512" i="12" s="1"/>
  <c r="M513" i="12"/>
  <c r="L513" i="12" s="1"/>
  <c r="J513" i="12" s="1"/>
  <c r="M514" i="12"/>
  <c r="L514" i="12" s="1"/>
  <c r="J514" i="12" s="1"/>
  <c r="M515" i="12"/>
  <c r="L515" i="12" s="1"/>
  <c r="J515" i="12" s="1"/>
  <c r="M516" i="12"/>
  <c r="L516" i="12" s="1"/>
  <c r="J516" i="12" s="1"/>
  <c r="M517" i="12"/>
  <c r="L517" i="12" s="1"/>
  <c r="J517" i="12" s="1"/>
  <c r="M518" i="12"/>
  <c r="L518" i="12" s="1"/>
  <c r="J518" i="12" s="1"/>
  <c r="M519" i="12"/>
  <c r="L519" i="12" s="1"/>
  <c r="J519" i="12" s="1"/>
  <c r="M520" i="12"/>
  <c r="L520" i="12" s="1"/>
  <c r="J520" i="12" s="1"/>
  <c r="M521" i="12"/>
  <c r="L521" i="12" s="1"/>
  <c r="J521" i="12" s="1"/>
  <c r="M522" i="12"/>
  <c r="L522" i="12" s="1"/>
  <c r="J522" i="12" s="1"/>
  <c r="M523" i="12"/>
  <c r="L523" i="12" s="1"/>
  <c r="J523" i="12" s="1"/>
  <c r="M524" i="12"/>
  <c r="L524" i="12" s="1"/>
  <c r="J524" i="12" s="1"/>
  <c r="M525" i="12"/>
  <c r="L525" i="12" s="1"/>
  <c r="J525" i="12" s="1"/>
  <c r="M526" i="12"/>
  <c r="L526" i="12" s="1"/>
  <c r="J526" i="12" s="1"/>
  <c r="M527" i="12"/>
  <c r="L527" i="12" s="1"/>
  <c r="J527" i="12" s="1"/>
  <c r="M528" i="12"/>
  <c r="L528" i="12" s="1"/>
  <c r="J528" i="12" s="1"/>
  <c r="M529" i="12"/>
  <c r="L529" i="12" s="1"/>
  <c r="J529" i="12" s="1"/>
  <c r="M530" i="12"/>
  <c r="L530" i="12" s="1"/>
  <c r="J530" i="12" s="1"/>
  <c r="M531" i="12"/>
  <c r="L531" i="12" s="1"/>
  <c r="J531" i="12" s="1"/>
  <c r="M532" i="12"/>
  <c r="L532" i="12" s="1"/>
  <c r="J532" i="12" s="1"/>
  <c r="M533" i="12"/>
  <c r="L533" i="12" s="1"/>
  <c r="J533" i="12" s="1"/>
  <c r="M534" i="12"/>
  <c r="L534" i="12" s="1"/>
  <c r="J534" i="12" s="1"/>
  <c r="M535" i="12"/>
  <c r="L535" i="12" s="1"/>
  <c r="J535" i="12" s="1"/>
  <c r="M536" i="12"/>
  <c r="L536" i="12" s="1"/>
  <c r="J536" i="12" s="1"/>
  <c r="M537" i="12"/>
  <c r="L537" i="12" s="1"/>
  <c r="J537" i="12" s="1"/>
  <c r="M538" i="12"/>
  <c r="L538" i="12" s="1"/>
  <c r="J538" i="12" s="1"/>
  <c r="M539" i="12"/>
  <c r="L539" i="12" s="1"/>
  <c r="J539" i="12" s="1"/>
  <c r="M540" i="12"/>
  <c r="L540" i="12" s="1"/>
  <c r="J540" i="12" s="1"/>
  <c r="M541" i="12"/>
  <c r="L541" i="12" s="1"/>
  <c r="J541" i="12" s="1"/>
  <c r="M542" i="12"/>
  <c r="L542" i="12" s="1"/>
  <c r="J542" i="12" s="1"/>
  <c r="M543" i="12"/>
  <c r="L543" i="12" s="1"/>
  <c r="J543" i="12" s="1"/>
  <c r="M544" i="12"/>
  <c r="L544" i="12" s="1"/>
  <c r="J544" i="12" s="1"/>
  <c r="M545" i="12"/>
  <c r="L545" i="12" s="1"/>
  <c r="J545" i="12" s="1"/>
  <c r="M546" i="12"/>
  <c r="L546" i="12" s="1"/>
  <c r="J546" i="12" s="1"/>
  <c r="M547" i="12"/>
  <c r="L547" i="12" s="1"/>
  <c r="J547" i="12" s="1"/>
  <c r="M548" i="12"/>
  <c r="L548" i="12" s="1"/>
  <c r="J548" i="12" s="1"/>
  <c r="M549" i="12"/>
  <c r="L549" i="12" s="1"/>
  <c r="J549" i="12" s="1"/>
  <c r="M382" i="12"/>
  <c r="L382" i="12" s="1"/>
  <c r="J382" i="12" s="1"/>
  <c r="M383" i="12"/>
  <c r="L383" i="12" s="1"/>
  <c r="J383" i="12" s="1"/>
  <c r="M384" i="12"/>
  <c r="L384" i="12" s="1"/>
  <c r="J384" i="12" s="1"/>
  <c r="M385" i="12"/>
  <c r="L385" i="12" s="1"/>
  <c r="J385" i="12" s="1"/>
  <c r="M386" i="12"/>
  <c r="L386" i="12" s="1"/>
  <c r="J386" i="12" s="1"/>
  <c r="M387" i="12"/>
  <c r="L387" i="12" s="1"/>
  <c r="J387" i="12" s="1"/>
  <c r="M388" i="12"/>
  <c r="L388" i="12" s="1"/>
  <c r="J388" i="12" s="1"/>
  <c r="M389" i="12"/>
  <c r="L389" i="12" s="1"/>
  <c r="J389" i="12" s="1"/>
  <c r="M390" i="12"/>
  <c r="L390" i="12" s="1"/>
  <c r="J390" i="12" s="1"/>
  <c r="M391" i="12"/>
  <c r="L391" i="12" s="1"/>
  <c r="J391" i="12" s="1"/>
  <c r="M392" i="12"/>
  <c r="L392" i="12" s="1"/>
  <c r="J392" i="12" s="1"/>
  <c r="M393" i="12"/>
  <c r="L393" i="12" s="1"/>
  <c r="J393" i="12" s="1"/>
  <c r="M394" i="12"/>
  <c r="L394" i="12" s="1"/>
  <c r="J394" i="12" s="1"/>
  <c r="M395" i="12"/>
  <c r="L395" i="12" s="1"/>
  <c r="J395" i="12" s="1"/>
  <c r="M396" i="12"/>
  <c r="L396" i="12" s="1"/>
  <c r="J396" i="12" s="1"/>
  <c r="M397" i="12"/>
  <c r="L397" i="12" s="1"/>
  <c r="J397" i="12" s="1"/>
  <c r="M398" i="12"/>
  <c r="L398" i="12" s="1"/>
  <c r="J398" i="12" s="1"/>
  <c r="M399" i="12"/>
  <c r="L399" i="12" s="1"/>
  <c r="J399" i="12" s="1"/>
  <c r="M400" i="12"/>
  <c r="L400" i="12" s="1"/>
  <c r="J400" i="12" s="1"/>
  <c r="M401" i="12"/>
  <c r="L401" i="12" s="1"/>
  <c r="J401" i="12" s="1"/>
  <c r="M402" i="12"/>
  <c r="L402" i="12" s="1"/>
  <c r="J402" i="12" s="1"/>
  <c r="M403" i="12"/>
  <c r="L403" i="12" s="1"/>
  <c r="J403" i="12" s="1"/>
  <c r="M404" i="12"/>
  <c r="L404" i="12" s="1"/>
  <c r="J404" i="12" s="1"/>
  <c r="M405" i="12"/>
  <c r="L405" i="12" s="1"/>
  <c r="J405" i="12" s="1"/>
  <c r="M406" i="12"/>
  <c r="L406" i="12" s="1"/>
  <c r="J406" i="12" s="1"/>
  <c r="M407" i="12"/>
  <c r="L407" i="12" s="1"/>
  <c r="J407" i="12" s="1"/>
  <c r="M408" i="12"/>
  <c r="L408" i="12" s="1"/>
  <c r="J408" i="12" s="1"/>
  <c r="M409" i="12"/>
  <c r="L409" i="12" s="1"/>
  <c r="J409" i="12" s="1"/>
  <c r="M410" i="12"/>
  <c r="L410" i="12" s="1"/>
  <c r="J410" i="12" s="1"/>
  <c r="M411" i="12"/>
  <c r="L411" i="12" s="1"/>
  <c r="J411" i="12" s="1"/>
  <c r="M412" i="12"/>
  <c r="L412" i="12" s="1"/>
  <c r="J412" i="12" s="1"/>
  <c r="M413" i="12"/>
  <c r="L413" i="12" s="1"/>
  <c r="J413" i="12" s="1"/>
  <c r="M414" i="12"/>
  <c r="L414" i="12" s="1"/>
  <c r="J414" i="12" s="1"/>
  <c r="M415" i="12"/>
  <c r="L415" i="12" s="1"/>
  <c r="J415" i="12" s="1"/>
  <c r="M416" i="12"/>
  <c r="L416" i="12" s="1"/>
  <c r="J416" i="12" s="1"/>
  <c r="M417" i="12"/>
  <c r="L417" i="12" s="1"/>
  <c r="J417" i="12" s="1"/>
  <c r="M418" i="12"/>
  <c r="L418" i="12" s="1"/>
  <c r="J418" i="12" s="1"/>
  <c r="M419" i="12"/>
  <c r="L419" i="12" s="1"/>
  <c r="J419" i="12" s="1"/>
  <c r="M420" i="12"/>
  <c r="L420" i="12" s="1"/>
  <c r="J420" i="12" s="1"/>
  <c r="M421" i="12"/>
  <c r="L421" i="12" s="1"/>
  <c r="J421" i="12" s="1"/>
  <c r="M422" i="12"/>
  <c r="L422" i="12" s="1"/>
  <c r="J422" i="12" s="1"/>
  <c r="M423" i="12"/>
  <c r="L423" i="12" s="1"/>
  <c r="J423" i="12" s="1"/>
  <c r="M424" i="12"/>
  <c r="L424" i="12" s="1"/>
  <c r="J424" i="12" s="1"/>
  <c r="M425" i="12"/>
  <c r="L425" i="12" s="1"/>
  <c r="J425" i="12" s="1"/>
  <c r="M426" i="12"/>
  <c r="L426" i="12" s="1"/>
  <c r="J426" i="12" s="1"/>
  <c r="M427" i="12"/>
  <c r="L427" i="12" s="1"/>
  <c r="J427" i="12" s="1"/>
  <c r="M428" i="12"/>
  <c r="L428" i="12" s="1"/>
  <c r="J428" i="12" s="1"/>
  <c r="M429" i="12"/>
  <c r="L429" i="12" s="1"/>
  <c r="J429" i="12" s="1"/>
  <c r="M430" i="12"/>
  <c r="L430" i="12" s="1"/>
  <c r="J430" i="12" s="1"/>
  <c r="M431" i="12"/>
  <c r="L431" i="12" s="1"/>
  <c r="J431" i="12" s="1"/>
  <c r="M432" i="12"/>
  <c r="L432" i="12" s="1"/>
  <c r="J432" i="12" s="1"/>
  <c r="M433" i="12"/>
  <c r="L433" i="12" s="1"/>
  <c r="J433" i="12" s="1"/>
  <c r="M434" i="12"/>
  <c r="L434" i="12" s="1"/>
  <c r="J434" i="12" s="1"/>
  <c r="M435" i="12"/>
  <c r="L435" i="12" s="1"/>
  <c r="J435" i="12" s="1"/>
  <c r="M436" i="12"/>
  <c r="L436" i="12" s="1"/>
  <c r="J436" i="12" s="1"/>
  <c r="M437" i="12"/>
  <c r="L437" i="12" s="1"/>
  <c r="J437" i="12" s="1"/>
  <c r="M438" i="12"/>
  <c r="L438" i="12" s="1"/>
  <c r="J438" i="12" s="1"/>
  <c r="M439" i="12"/>
  <c r="L439" i="12" s="1"/>
  <c r="J439" i="12" s="1"/>
  <c r="M440" i="12"/>
  <c r="L440" i="12" s="1"/>
  <c r="J440" i="12" s="1"/>
  <c r="M441" i="12"/>
  <c r="L441" i="12" s="1"/>
  <c r="J441" i="12" s="1"/>
  <c r="M442" i="12"/>
  <c r="L442" i="12" s="1"/>
  <c r="J442" i="12" s="1"/>
  <c r="M443" i="12"/>
  <c r="L443" i="12" s="1"/>
  <c r="J443" i="12" s="1"/>
  <c r="M444" i="12"/>
  <c r="L444" i="12" s="1"/>
  <c r="J444" i="12" s="1"/>
  <c r="M445" i="12"/>
  <c r="L445" i="12" s="1"/>
  <c r="J445" i="12" s="1"/>
  <c r="M446" i="12"/>
  <c r="L446" i="12" s="1"/>
  <c r="J446" i="12" s="1"/>
  <c r="M377" i="12"/>
  <c r="L377" i="12" s="1"/>
  <c r="J377" i="12" s="1"/>
  <c r="M378" i="12"/>
  <c r="L378" i="12" s="1"/>
  <c r="J378" i="12" s="1"/>
  <c r="M379" i="12"/>
  <c r="L379" i="12" s="1"/>
  <c r="J379" i="12" s="1"/>
  <c r="M380" i="12"/>
  <c r="L380" i="12" s="1"/>
  <c r="J380" i="12" s="1"/>
  <c r="M381" i="12"/>
  <c r="L381" i="12" s="1"/>
  <c r="J381" i="12" s="1"/>
  <c r="M354" i="12"/>
  <c r="L354" i="12" s="1"/>
  <c r="J354" i="12" s="1"/>
  <c r="M355" i="12"/>
  <c r="L355" i="12" s="1"/>
  <c r="J355" i="12" s="1"/>
  <c r="M356" i="12"/>
  <c r="L356" i="12" s="1"/>
  <c r="J356" i="12" s="1"/>
  <c r="M357" i="12"/>
  <c r="L357" i="12" s="1"/>
  <c r="J357" i="12" s="1"/>
  <c r="M358" i="12"/>
  <c r="L358" i="12" s="1"/>
  <c r="J358" i="12" s="1"/>
  <c r="M359" i="12"/>
  <c r="L359" i="12" s="1"/>
  <c r="J359" i="12" s="1"/>
  <c r="M360" i="12"/>
  <c r="L360" i="12" s="1"/>
  <c r="J360" i="12" s="1"/>
  <c r="M361" i="12"/>
  <c r="L361" i="12" s="1"/>
  <c r="J361" i="12" s="1"/>
  <c r="M362" i="12"/>
  <c r="L362" i="12" s="1"/>
  <c r="J362" i="12" s="1"/>
  <c r="M363" i="12"/>
  <c r="L363" i="12" s="1"/>
  <c r="J363" i="12" s="1"/>
  <c r="M364" i="12"/>
  <c r="L364" i="12" s="1"/>
  <c r="J364" i="12" s="1"/>
  <c r="M365" i="12"/>
  <c r="L365" i="12" s="1"/>
  <c r="J365" i="12" s="1"/>
  <c r="M366" i="12"/>
  <c r="L366" i="12" s="1"/>
  <c r="J366" i="12" s="1"/>
  <c r="M367" i="12"/>
  <c r="L367" i="12" s="1"/>
  <c r="J367" i="12" s="1"/>
  <c r="M368" i="12"/>
  <c r="L368" i="12" s="1"/>
  <c r="J368" i="12" s="1"/>
  <c r="M369" i="12"/>
  <c r="L369" i="12" s="1"/>
  <c r="J369" i="12" s="1"/>
  <c r="M370" i="12"/>
  <c r="L370" i="12" s="1"/>
  <c r="J370" i="12" s="1"/>
  <c r="M371" i="12"/>
  <c r="L371" i="12" s="1"/>
  <c r="J371" i="12" s="1"/>
  <c r="M372" i="12"/>
  <c r="L372" i="12" s="1"/>
  <c r="J372" i="12" s="1"/>
  <c r="M373" i="12"/>
  <c r="L373" i="12" s="1"/>
  <c r="J373" i="12" s="1"/>
  <c r="M374" i="12"/>
  <c r="L374" i="12" s="1"/>
  <c r="J374" i="12" s="1"/>
  <c r="M375" i="12"/>
  <c r="L375" i="12" s="1"/>
  <c r="J375" i="12" s="1"/>
  <c r="M376" i="12"/>
  <c r="L376" i="12" s="1"/>
  <c r="J376" i="12" s="1"/>
  <c r="M345" i="12"/>
  <c r="L345" i="12" s="1"/>
  <c r="J345" i="12" s="1"/>
  <c r="M346" i="12"/>
  <c r="L346" i="12" s="1"/>
  <c r="J346" i="12" s="1"/>
  <c r="M347" i="12"/>
  <c r="L347" i="12" s="1"/>
  <c r="J347" i="12" s="1"/>
  <c r="M348" i="12"/>
  <c r="L348" i="12" s="1"/>
  <c r="J348" i="12" s="1"/>
  <c r="M349" i="12"/>
  <c r="L349" i="12" s="1"/>
  <c r="J349" i="12" s="1"/>
  <c r="M350" i="12"/>
  <c r="L350" i="12" s="1"/>
  <c r="J350" i="12" s="1"/>
  <c r="M351" i="12"/>
  <c r="L351" i="12" s="1"/>
  <c r="J351" i="12" s="1"/>
  <c r="M352" i="12"/>
  <c r="L352" i="12" s="1"/>
  <c r="J352" i="12" s="1"/>
  <c r="M353" i="12"/>
  <c r="L353" i="12" s="1"/>
  <c r="J353" i="12" s="1"/>
  <c r="M335" i="12"/>
  <c r="L335" i="12" s="1"/>
  <c r="J335" i="12" s="1"/>
  <c r="M336" i="12"/>
  <c r="L336" i="12" s="1"/>
  <c r="J336" i="12" s="1"/>
  <c r="M337" i="12"/>
  <c r="L337" i="12" s="1"/>
  <c r="J337" i="12" s="1"/>
  <c r="M338" i="12"/>
  <c r="L338" i="12" s="1"/>
  <c r="J338" i="12" s="1"/>
  <c r="M339" i="12"/>
  <c r="L339" i="12" s="1"/>
  <c r="J339" i="12" s="1"/>
  <c r="M340" i="12"/>
  <c r="L340" i="12" s="1"/>
  <c r="J340" i="12" s="1"/>
  <c r="M341" i="12"/>
  <c r="L341" i="12" s="1"/>
  <c r="J341" i="12" s="1"/>
  <c r="M342" i="12"/>
  <c r="L342" i="12" s="1"/>
  <c r="J342" i="12" s="1"/>
  <c r="M343" i="12"/>
  <c r="L343" i="12" s="1"/>
  <c r="J343" i="12" s="1"/>
  <c r="M344" i="12"/>
  <c r="L344" i="12" s="1"/>
  <c r="J344" i="12" s="1"/>
  <c r="M323" i="12"/>
  <c r="L323" i="12" s="1"/>
  <c r="J323" i="12" s="1"/>
  <c r="M324" i="12"/>
  <c r="L324" i="12" s="1"/>
  <c r="J324" i="12" s="1"/>
  <c r="M330" i="12"/>
  <c r="L330" i="12" s="1"/>
  <c r="J330" i="12" s="1"/>
  <c r="M331" i="12"/>
  <c r="L331" i="12" s="1"/>
  <c r="J331" i="12" s="1"/>
  <c r="M332" i="12"/>
  <c r="L332" i="12" s="1"/>
  <c r="J332" i="12" s="1"/>
  <c r="M333" i="12"/>
  <c r="L333" i="12" s="1"/>
  <c r="J333" i="12" s="1"/>
  <c r="M334" i="12"/>
  <c r="L334" i="12" s="1"/>
  <c r="J334" i="12" s="1"/>
  <c r="M315" i="12"/>
  <c r="L315" i="12" s="1"/>
  <c r="J315" i="12" s="1"/>
  <c r="M316" i="12"/>
  <c r="L316" i="12" s="1"/>
  <c r="J316" i="12" s="1"/>
  <c r="M317" i="12"/>
  <c r="L317" i="12" s="1"/>
  <c r="J317" i="12" s="1"/>
  <c r="M319" i="12"/>
  <c r="L319" i="12" s="1"/>
  <c r="J319" i="12" s="1"/>
  <c r="M312" i="12"/>
  <c r="L312" i="12" s="1"/>
  <c r="J312" i="12" s="1"/>
  <c r="M288" i="12"/>
  <c r="L288" i="12" s="1"/>
  <c r="J288" i="12" s="1"/>
  <c r="M289" i="12"/>
  <c r="L289" i="12" s="1"/>
  <c r="J289" i="12" s="1"/>
  <c r="M290" i="12"/>
  <c r="L290" i="12" s="1"/>
  <c r="J290" i="12" s="1"/>
  <c r="M291" i="12"/>
  <c r="L291" i="12" s="1"/>
  <c r="J291" i="12" s="1"/>
  <c r="M292" i="12"/>
  <c r="L292" i="12" s="1"/>
  <c r="J292" i="12" s="1"/>
  <c r="M293" i="12"/>
  <c r="L293" i="12" s="1"/>
  <c r="J293" i="12" s="1"/>
  <c r="M294" i="12"/>
  <c r="L294" i="12" s="1"/>
  <c r="J294" i="12" s="1"/>
  <c r="M295" i="12"/>
  <c r="L295" i="12" s="1"/>
  <c r="J295" i="12" s="1"/>
  <c r="M296" i="12"/>
  <c r="L296" i="12" s="1"/>
  <c r="J296" i="12" s="1"/>
  <c r="M297" i="12"/>
  <c r="L297" i="12" s="1"/>
  <c r="J297" i="12" s="1"/>
  <c r="M298" i="12"/>
  <c r="L298" i="12" s="1"/>
  <c r="J298" i="12" s="1"/>
  <c r="M299" i="12"/>
  <c r="L299" i="12" s="1"/>
  <c r="J299" i="12" s="1"/>
  <c r="M300" i="12"/>
  <c r="L300" i="12" s="1"/>
  <c r="J300" i="12" s="1"/>
  <c r="M301" i="12"/>
  <c r="L301" i="12" s="1"/>
  <c r="J301" i="12" s="1"/>
  <c r="M302" i="12"/>
  <c r="L302" i="12" s="1"/>
  <c r="J302" i="12" s="1"/>
  <c r="M303" i="12"/>
  <c r="L303" i="12" s="1"/>
  <c r="J303" i="12" s="1"/>
  <c r="M304" i="12"/>
  <c r="L304" i="12" s="1"/>
  <c r="J304" i="12" s="1"/>
  <c r="M305" i="12"/>
  <c r="L305" i="12" s="1"/>
  <c r="J305" i="12" s="1"/>
  <c r="M306" i="12"/>
  <c r="L306" i="12" s="1"/>
  <c r="J306" i="12" s="1"/>
  <c r="M307" i="12"/>
  <c r="L307" i="12" s="1"/>
  <c r="J307" i="12" s="1"/>
  <c r="M308" i="12"/>
  <c r="L308" i="12" s="1"/>
  <c r="J308" i="12" s="1"/>
  <c r="M309" i="12"/>
  <c r="L309" i="12" s="1"/>
  <c r="J309" i="12" s="1"/>
  <c r="M310" i="12"/>
  <c r="L310" i="12" s="1"/>
  <c r="J310" i="12" s="1"/>
  <c r="M311" i="12"/>
  <c r="L311" i="12" s="1"/>
  <c r="J311" i="12" s="1"/>
  <c r="M285" i="12"/>
  <c r="L285" i="12" s="1"/>
  <c r="J285" i="12" s="1"/>
  <c r="M286" i="12"/>
  <c r="L286" i="12" s="1"/>
  <c r="J286" i="12" s="1"/>
  <c r="M287" i="12"/>
  <c r="L287" i="12" s="1"/>
  <c r="J287" i="12" s="1"/>
  <c r="M278" i="12"/>
  <c r="L278" i="12" s="1"/>
  <c r="J278" i="12" s="1"/>
  <c r="M279" i="12"/>
  <c r="L279" i="12" s="1"/>
  <c r="J279" i="12" s="1"/>
  <c r="M280" i="12"/>
  <c r="L280" i="12" s="1"/>
  <c r="J280" i="12" s="1"/>
  <c r="M281" i="12"/>
  <c r="L281" i="12" s="1"/>
  <c r="J281" i="12" s="1"/>
  <c r="M282" i="12"/>
  <c r="L282" i="12" s="1"/>
  <c r="J282" i="12" s="1"/>
  <c r="M283" i="12"/>
  <c r="L283" i="12" s="1"/>
  <c r="J283" i="12" s="1"/>
  <c r="M284" i="12"/>
  <c r="L284" i="12" s="1"/>
  <c r="J284" i="12" s="1"/>
  <c r="M260" i="12"/>
  <c r="L260" i="12" s="1"/>
  <c r="J260" i="12" s="1"/>
  <c r="M261" i="12"/>
  <c r="L261" i="12" s="1"/>
  <c r="J261" i="12" s="1"/>
  <c r="M262" i="12"/>
  <c r="L262" i="12" s="1"/>
  <c r="J262" i="12" s="1"/>
  <c r="M263" i="12"/>
  <c r="L263" i="12" s="1"/>
  <c r="J263" i="12" s="1"/>
  <c r="M264" i="12"/>
  <c r="L264" i="12" s="1"/>
  <c r="J264" i="12" s="1"/>
  <c r="M265" i="12"/>
  <c r="L265" i="12" s="1"/>
  <c r="J265" i="12" s="1"/>
  <c r="M266" i="12"/>
  <c r="L266" i="12" s="1"/>
  <c r="J266" i="12" s="1"/>
  <c r="M267" i="12"/>
  <c r="L267" i="12" s="1"/>
  <c r="J267" i="12" s="1"/>
  <c r="M268" i="12"/>
  <c r="L268" i="12" s="1"/>
  <c r="J268" i="12" s="1"/>
  <c r="M269" i="12"/>
  <c r="L269" i="12" s="1"/>
  <c r="J269" i="12" s="1"/>
  <c r="M270" i="12"/>
  <c r="L270" i="12" s="1"/>
  <c r="J270" i="12" s="1"/>
  <c r="M271" i="12"/>
  <c r="L271" i="12" s="1"/>
  <c r="J271" i="12" s="1"/>
  <c r="M272" i="12"/>
  <c r="L272" i="12" s="1"/>
  <c r="J272" i="12" s="1"/>
  <c r="M273" i="12"/>
  <c r="L273" i="12" s="1"/>
  <c r="J273" i="12" s="1"/>
  <c r="M274" i="12"/>
  <c r="L274" i="12" s="1"/>
  <c r="J274" i="12" s="1"/>
  <c r="M275" i="12"/>
  <c r="L275" i="12" s="1"/>
  <c r="J275" i="12" s="1"/>
  <c r="M276" i="12"/>
  <c r="L276" i="12" s="1"/>
  <c r="J276" i="12" s="1"/>
  <c r="M277" i="12"/>
  <c r="L277" i="12" s="1"/>
  <c r="J277" i="12" s="1"/>
  <c r="M247" i="12"/>
  <c r="L247" i="12" s="1"/>
  <c r="J247" i="12" s="1"/>
  <c r="M248" i="12"/>
  <c r="L248" i="12" s="1"/>
  <c r="J248" i="12" s="1"/>
  <c r="M249" i="12"/>
  <c r="L249" i="12" s="1"/>
  <c r="J249" i="12" s="1"/>
  <c r="M250" i="12"/>
  <c r="L250" i="12" s="1"/>
  <c r="J250" i="12" s="1"/>
  <c r="M251" i="12"/>
  <c r="L251" i="12" s="1"/>
  <c r="J251" i="12" s="1"/>
  <c r="M252" i="12"/>
  <c r="L252" i="12" s="1"/>
  <c r="J252" i="12" s="1"/>
  <c r="M253" i="12"/>
  <c r="L253" i="12" s="1"/>
  <c r="J253" i="12" s="1"/>
  <c r="M254" i="12"/>
  <c r="L254" i="12" s="1"/>
  <c r="J254" i="12" s="1"/>
  <c r="M255" i="12"/>
  <c r="L255" i="12" s="1"/>
  <c r="J255" i="12" s="1"/>
  <c r="M256" i="12"/>
  <c r="L256" i="12" s="1"/>
  <c r="J256" i="12" s="1"/>
  <c r="M257" i="12"/>
  <c r="L257" i="12" s="1"/>
  <c r="J257" i="12" s="1"/>
  <c r="M258" i="12"/>
  <c r="L258" i="12" s="1"/>
  <c r="J258" i="12" s="1"/>
  <c r="M259" i="12"/>
  <c r="L259" i="12" s="1"/>
  <c r="J259" i="12" s="1"/>
  <c r="M229" i="12"/>
  <c r="L229" i="12" s="1"/>
  <c r="J229" i="12" s="1"/>
  <c r="M230" i="12"/>
  <c r="L230" i="12" s="1"/>
  <c r="J230" i="12" s="1"/>
  <c r="M231" i="12"/>
  <c r="L231" i="12" s="1"/>
  <c r="J231" i="12" s="1"/>
  <c r="M232" i="12"/>
  <c r="L232" i="12" s="1"/>
  <c r="J232" i="12" s="1"/>
  <c r="M233" i="12"/>
  <c r="L233" i="12" s="1"/>
  <c r="J233" i="12" s="1"/>
  <c r="M234" i="12"/>
  <c r="L234" i="12" s="1"/>
  <c r="J234" i="12" s="1"/>
  <c r="M236" i="12"/>
  <c r="L236" i="12" s="1"/>
  <c r="J236" i="12" s="1"/>
  <c r="M237" i="12"/>
  <c r="L237" i="12" s="1"/>
  <c r="J237" i="12" s="1"/>
  <c r="M238" i="12"/>
  <c r="L238" i="12" s="1"/>
  <c r="J238" i="12" s="1"/>
  <c r="M239" i="12"/>
  <c r="L239" i="12" s="1"/>
  <c r="J239" i="12" s="1"/>
  <c r="M240" i="12"/>
  <c r="L240" i="12" s="1"/>
  <c r="J240" i="12" s="1"/>
  <c r="M241" i="12"/>
  <c r="L241" i="12" s="1"/>
  <c r="J241" i="12" s="1"/>
  <c r="M242" i="12"/>
  <c r="L242" i="12" s="1"/>
  <c r="J242" i="12" s="1"/>
  <c r="M243" i="12"/>
  <c r="L243" i="12" s="1"/>
  <c r="J243" i="12" s="1"/>
  <c r="M244" i="12"/>
  <c r="L244" i="12" s="1"/>
  <c r="J244" i="12" s="1"/>
  <c r="M245" i="12"/>
  <c r="L245" i="12" s="1"/>
  <c r="J245" i="12" s="1"/>
  <c r="M246" i="12"/>
  <c r="L246" i="12" s="1"/>
  <c r="J246" i="12" s="1"/>
  <c r="M194" i="12"/>
  <c r="L194" i="12" s="1"/>
  <c r="J194" i="12" s="1"/>
  <c r="M195" i="12"/>
  <c r="L195" i="12" s="1"/>
  <c r="J195" i="12" s="1"/>
  <c r="M196" i="12"/>
  <c r="L196" i="12" s="1"/>
  <c r="J196" i="12" s="1"/>
  <c r="M197" i="12"/>
  <c r="L197" i="12" s="1"/>
  <c r="J197" i="12" s="1"/>
  <c r="M198" i="12"/>
  <c r="L198" i="12" s="1"/>
  <c r="J198" i="12" s="1"/>
  <c r="M199" i="12"/>
  <c r="L199" i="12" s="1"/>
  <c r="J199" i="12" s="1"/>
  <c r="M200" i="12"/>
  <c r="L200" i="12" s="1"/>
  <c r="J200" i="12" s="1"/>
  <c r="M201" i="12"/>
  <c r="L201" i="12" s="1"/>
  <c r="J201" i="12" s="1"/>
  <c r="M202" i="12"/>
  <c r="L202" i="12" s="1"/>
  <c r="J202" i="12" s="1"/>
  <c r="M203" i="12"/>
  <c r="L203" i="12" s="1"/>
  <c r="J203" i="12" s="1"/>
  <c r="M204" i="12"/>
  <c r="L204" i="12" s="1"/>
  <c r="J204" i="12" s="1"/>
  <c r="M205" i="12"/>
  <c r="L205" i="12" s="1"/>
  <c r="J205" i="12" s="1"/>
  <c r="M206" i="12"/>
  <c r="L206" i="12" s="1"/>
  <c r="J206" i="12" s="1"/>
  <c r="M207" i="12"/>
  <c r="L207" i="12" s="1"/>
  <c r="J207" i="12" s="1"/>
  <c r="M208" i="12"/>
  <c r="L208" i="12" s="1"/>
  <c r="J208" i="12" s="1"/>
  <c r="M209" i="12"/>
  <c r="L209" i="12" s="1"/>
  <c r="J209" i="12" s="1"/>
  <c r="M210" i="12"/>
  <c r="L210" i="12" s="1"/>
  <c r="J210" i="12" s="1"/>
  <c r="M211" i="12"/>
  <c r="L211" i="12" s="1"/>
  <c r="J211" i="12" s="1"/>
  <c r="M212" i="12"/>
  <c r="L212" i="12" s="1"/>
  <c r="J212" i="12" s="1"/>
  <c r="M213" i="12"/>
  <c r="L213" i="12" s="1"/>
  <c r="J213" i="12" s="1"/>
  <c r="M214" i="12"/>
  <c r="L214" i="12" s="1"/>
  <c r="J214" i="12" s="1"/>
  <c r="M215" i="12"/>
  <c r="L215" i="12" s="1"/>
  <c r="J215" i="12" s="1"/>
  <c r="M216" i="12"/>
  <c r="L216" i="12" s="1"/>
  <c r="J216" i="12" s="1"/>
  <c r="M217" i="12"/>
  <c r="L217" i="12" s="1"/>
  <c r="J217" i="12" s="1"/>
  <c r="M218" i="12"/>
  <c r="L218" i="12" s="1"/>
  <c r="J218" i="12" s="1"/>
  <c r="M219" i="12"/>
  <c r="L219" i="12" s="1"/>
  <c r="J219" i="12" s="1"/>
  <c r="M220" i="12"/>
  <c r="L220" i="12" s="1"/>
  <c r="J220" i="12" s="1"/>
  <c r="M221" i="12"/>
  <c r="L221" i="12" s="1"/>
  <c r="J221" i="12" s="1"/>
  <c r="M222" i="12"/>
  <c r="L222" i="12" s="1"/>
  <c r="J222" i="12" s="1"/>
  <c r="M223" i="12"/>
  <c r="L223" i="12" s="1"/>
  <c r="J223" i="12" s="1"/>
  <c r="M224" i="12"/>
  <c r="L224" i="12" s="1"/>
  <c r="J224" i="12" s="1"/>
  <c r="M225" i="12"/>
  <c r="L225" i="12" s="1"/>
  <c r="J225" i="12" s="1"/>
  <c r="M226" i="12"/>
  <c r="L226" i="12" s="1"/>
  <c r="J226" i="12" s="1"/>
  <c r="M227" i="12"/>
  <c r="L227" i="12" s="1"/>
  <c r="J227" i="12" s="1"/>
  <c r="M228" i="12"/>
  <c r="L228" i="12" s="1"/>
  <c r="J228" i="12" s="1"/>
  <c r="M235" i="12"/>
  <c r="L235" i="12" s="1"/>
  <c r="J235" i="12" s="1"/>
  <c r="M192" i="12"/>
  <c r="L192" i="12" s="1"/>
  <c r="J192" i="12" s="1"/>
  <c r="M193" i="12"/>
  <c r="L193" i="12" s="1"/>
  <c r="J193" i="12" s="1"/>
  <c r="M183" i="12"/>
  <c r="L183" i="12" s="1"/>
  <c r="J183" i="12" s="1"/>
  <c r="M185" i="12"/>
  <c r="L185" i="12" s="1"/>
  <c r="J185" i="12" s="1"/>
  <c r="M172" i="12"/>
  <c r="L172" i="12" s="1"/>
  <c r="J172" i="12" s="1"/>
  <c r="M173" i="12"/>
  <c r="L173" i="12" s="1"/>
  <c r="J173" i="12" s="1"/>
  <c r="M174" i="12"/>
  <c r="L174" i="12" s="1"/>
  <c r="J174" i="12" s="1"/>
  <c r="M175" i="12"/>
  <c r="L175" i="12" s="1"/>
  <c r="J175" i="12" s="1"/>
  <c r="M176" i="12"/>
  <c r="L176" i="12" s="1"/>
  <c r="J176" i="12" s="1"/>
  <c r="M177" i="12"/>
  <c r="L177" i="12" s="1"/>
  <c r="J177" i="12" s="1"/>
  <c r="M178" i="12"/>
  <c r="L178" i="12" s="1"/>
  <c r="J178" i="12" s="1"/>
  <c r="M179" i="12"/>
  <c r="L179" i="12" s="1"/>
  <c r="J179" i="12" s="1"/>
  <c r="M180" i="12"/>
  <c r="L180" i="12" s="1"/>
  <c r="J180" i="12" s="1"/>
  <c r="M181" i="12"/>
  <c r="L181" i="12" s="1"/>
  <c r="J181" i="12" s="1"/>
  <c r="M182" i="12"/>
  <c r="L182" i="12" s="1"/>
  <c r="J182" i="12" s="1"/>
  <c r="M184" i="12"/>
  <c r="L184" i="12" s="1"/>
  <c r="J184" i="12" s="1"/>
  <c r="M186" i="12"/>
  <c r="L186" i="12" s="1"/>
  <c r="J186" i="12" s="1"/>
  <c r="M187" i="12"/>
  <c r="L187" i="12" s="1"/>
  <c r="J187" i="12" s="1"/>
  <c r="M188" i="12"/>
  <c r="L188" i="12" s="1"/>
  <c r="J188" i="12" s="1"/>
  <c r="M189" i="12"/>
  <c r="L189" i="12" s="1"/>
  <c r="J189" i="12" s="1"/>
  <c r="M190" i="12"/>
  <c r="L190" i="12" s="1"/>
  <c r="J190" i="12" s="1"/>
  <c r="M191" i="12"/>
  <c r="L191" i="12" s="1"/>
  <c r="J191" i="12" s="1"/>
  <c r="M123" i="12"/>
  <c r="L123" i="12" s="1"/>
  <c r="J123" i="12" s="1"/>
  <c r="M124" i="12"/>
  <c r="L124" i="12" s="1"/>
  <c r="J124" i="12" s="1"/>
  <c r="M125" i="12"/>
  <c r="L125" i="12" s="1"/>
  <c r="J125" i="12" s="1"/>
  <c r="M126" i="12"/>
  <c r="L126" i="12" s="1"/>
  <c r="J126" i="12" s="1"/>
  <c r="M127" i="12"/>
  <c r="L127" i="12" s="1"/>
  <c r="J127" i="12" s="1"/>
  <c r="M128" i="12"/>
  <c r="L128" i="12" s="1"/>
  <c r="J128" i="12" s="1"/>
  <c r="M129" i="12"/>
  <c r="L129" i="12" s="1"/>
  <c r="J129" i="12" s="1"/>
  <c r="M130" i="12"/>
  <c r="L130" i="12" s="1"/>
  <c r="J130" i="12" s="1"/>
  <c r="M131" i="12"/>
  <c r="L131" i="12" s="1"/>
  <c r="J131" i="12" s="1"/>
  <c r="M132" i="12"/>
  <c r="L132" i="12" s="1"/>
  <c r="J132" i="12" s="1"/>
  <c r="M133" i="12"/>
  <c r="L133" i="12" s="1"/>
  <c r="J133" i="12" s="1"/>
  <c r="M134" i="12"/>
  <c r="L134" i="12" s="1"/>
  <c r="J134" i="12" s="1"/>
  <c r="M135" i="12"/>
  <c r="L135" i="12" s="1"/>
  <c r="J135" i="12" s="1"/>
  <c r="M136" i="12"/>
  <c r="L136" i="12" s="1"/>
  <c r="J136" i="12" s="1"/>
  <c r="M137" i="12"/>
  <c r="L137" i="12" s="1"/>
  <c r="J137" i="12" s="1"/>
  <c r="M138" i="12"/>
  <c r="L138" i="12" s="1"/>
  <c r="J138" i="12" s="1"/>
  <c r="M139" i="12"/>
  <c r="L139" i="12" s="1"/>
  <c r="J139" i="12" s="1"/>
  <c r="M140" i="12"/>
  <c r="L140" i="12" s="1"/>
  <c r="J140" i="12" s="1"/>
  <c r="M141" i="12"/>
  <c r="L141" i="12" s="1"/>
  <c r="J141" i="12" s="1"/>
  <c r="M142" i="12"/>
  <c r="L142" i="12" s="1"/>
  <c r="J142" i="12" s="1"/>
  <c r="M143" i="12"/>
  <c r="L143" i="12" s="1"/>
  <c r="J143" i="12" s="1"/>
  <c r="M144" i="12"/>
  <c r="L144" i="12" s="1"/>
  <c r="J144" i="12" s="1"/>
  <c r="M145" i="12"/>
  <c r="L145" i="12" s="1"/>
  <c r="J145" i="12" s="1"/>
  <c r="M146" i="12"/>
  <c r="L146" i="12" s="1"/>
  <c r="J146" i="12" s="1"/>
  <c r="M147" i="12"/>
  <c r="L147" i="12" s="1"/>
  <c r="J147" i="12" s="1"/>
  <c r="M148" i="12"/>
  <c r="L148" i="12" s="1"/>
  <c r="J148" i="12" s="1"/>
  <c r="M149" i="12"/>
  <c r="L149" i="12" s="1"/>
  <c r="J149" i="12" s="1"/>
  <c r="M150" i="12"/>
  <c r="L150" i="12" s="1"/>
  <c r="J150" i="12" s="1"/>
  <c r="M151" i="12"/>
  <c r="L151" i="12" s="1"/>
  <c r="J151" i="12" s="1"/>
  <c r="M152" i="12"/>
  <c r="L152" i="12" s="1"/>
  <c r="J152" i="12" s="1"/>
  <c r="M153" i="12"/>
  <c r="L153" i="12" s="1"/>
  <c r="J153" i="12" s="1"/>
  <c r="M154" i="12"/>
  <c r="L154" i="12" s="1"/>
  <c r="J154" i="12" s="1"/>
  <c r="M155" i="12"/>
  <c r="L155" i="12" s="1"/>
  <c r="J155" i="12" s="1"/>
  <c r="M156" i="12"/>
  <c r="L156" i="12" s="1"/>
  <c r="J156" i="12" s="1"/>
  <c r="M157" i="12"/>
  <c r="L157" i="12" s="1"/>
  <c r="J157" i="12" s="1"/>
  <c r="M158" i="12"/>
  <c r="L158" i="12" s="1"/>
  <c r="J158" i="12" s="1"/>
  <c r="M159" i="12"/>
  <c r="L159" i="12" s="1"/>
  <c r="J159" i="12" s="1"/>
  <c r="M160" i="12"/>
  <c r="L160" i="12" s="1"/>
  <c r="J160" i="12" s="1"/>
  <c r="M161" i="12"/>
  <c r="L161" i="12" s="1"/>
  <c r="J161" i="12" s="1"/>
  <c r="M162" i="12"/>
  <c r="L162" i="12" s="1"/>
  <c r="J162" i="12" s="1"/>
  <c r="M163" i="12"/>
  <c r="L163" i="12" s="1"/>
  <c r="J163" i="12" s="1"/>
  <c r="M164" i="12"/>
  <c r="L164" i="12" s="1"/>
  <c r="J164" i="12" s="1"/>
  <c r="M165" i="12"/>
  <c r="L165" i="12" s="1"/>
  <c r="J165" i="12" s="1"/>
  <c r="M166" i="12"/>
  <c r="L166" i="12" s="1"/>
  <c r="J166" i="12" s="1"/>
  <c r="M167" i="12"/>
  <c r="L167" i="12" s="1"/>
  <c r="J167" i="12" s="1"/>
  <c r="M168" i="12"/>
  <c r="L168" i="12" s="1"/>
  <c r="J168" i="12" s="1"/>
  <c r="M169" i="12"/>
  <c r="L169" i="12" s="1"/>
  <c r="J169" i="12" s="1"/>
  <c r="M170" i="12"/>
  <c r="L170" i="12" s="1"/>
  <c r="J170" i="12" s="1"/>
  <c r="M171" i="12"/>
  <c r="L171" i="12" s="1"/>
  <c r="J171" i="12" s="1"/>
  <c r="M110" i="12"/>
  <c r="L110" i="12" s="1"/>
  <c r="J110" i="12" s="1"/>
  <c r="M111" i="12"/>
  <c r="L111" i="12" s="1"/>
  <c r="J111" i="12" s="1"/>
  <c r="M112" i="12"/>
  <c r="L112" i="12" s="1"/>
  <c r="J112" i="12" s="1"/>
  <c r="M113" i="12"/>
  <c r="L113" i="12" s="1"/>
  <c r="J113" i="12" s="1"/>
  <c r="M114" i="12"/>
  <c r="L114" i="12" s="1"/>
  <c r="J114" i="12" s="1"/>
  <c r="M115" i="12"/>
  <c r="L115" i="12" s="1"/>
  <c r="J115" i="12" s="1"/>
  <c r="M116" i="12"/>
  <c r="L116" i="12" s="1"/>
  <c r="J116" i="12" s="1"/>
  <c r="M117" i="12"/>
  <c r="L117" i="12" s="1"/>
  <c r="J117" i="12" s="1"/>
  <c r="M118" i="12"/>
  <c r="L118" i="12" s="1"/>
  <c r="J118" i="12" s="1"/>
  <c r="M119" i="12"/>
  <c r="L119" i="12" s="1"/>
  <c r="J119" i="12" s="1"/>
  <c r="M120" i="12"/>
  <c r="L120" i="12" s="1"/>
  <c r="J120" i="12" s="1"/>
  <c r="M121" i="12"/>
  <c r="L121" i="12" s="1"/>
  <c r="J121" i="12" s="1"/>
  <c r="M122" i="12"/>
  <c r="L122" i="12" s="1"/>
  <c r="J122" i="12" s="1"/>
  <c r="M82" i="12"/>
  <c r="L82" i="12" s="1"/>
  <c r="J82" i="12" s="1"/>
  <c r="M83" i="12"/>
  <c r="L83" i="12" s="1"/>
  <c r="J83" i="12" s="1"/>
  <c r="M84" i="12"/>
  <c r="L84" i="12" s="1"/>
  <c r="J84" i="12" s="1"/>
  <c r="M85" i="12"/>
  <c r="L85" i="12" s="1"/>
  <c r="J85" i="12" s="1"/>
  <c r="M86" i="12"/>
  <c r="L86" i="12" s="1"/>
  <c r="J86" i="12" s="1"/>
  <c r="M87" i="12"/>
  <c r="L87" i="12" s="1"/>
  <c r="J87" i="12" s="1"/>
  <c r="M88" i="12"/>
  <c r="L88" i="12" s="1"/>
  <c r="J88" i="12" s="1"/>
  <c r="M89" i="12"/>
  <c r="L89" i="12" s="1"/>
  <c r="J89" i="12" s="1"/>
  <c r="M90" i="12"/>
  <c r="L90" i="12" s="1"/>
  <c r="J90" i="12" s="1"/>
  <c r="M91" i="12"/>
  <c r="L91" i="12" s="1"/>
  <c r="J91" i="12" s="1"/>
  <c r="M92" i="12"/>
  <c r="L92" i="12" s="1"/>
  <c r="J92" i="12" s="1"/>
  <c r="M93" i="12"/>
  <c r="L93" i="12" s="1"/>
  <c r="J93" i="12" s="1"/>
  <c r="M94" i="12"/>
  <c r="L94" i="12" s="1"/>
  <c r="J94" i="12" s="1"/>
  <c r="M95" i="12"/>
  <c r="L95" i="12" s="1"/>
  <c r="J95" i="12" s="1"/>
  <c r="M96" i="12"/>
  <c r="L96" i="12" s="1"/>
  <c r="J96" i="12" s="1"/>
  <c r="M97" i="12"/>
  <c r="L97" i="12" s="1"/>
  <c r="J97" i="12" s="1"/>
  <c r="M98" i="12"/>
  <c r="L98" i="12" s="1"/>
  <c r="J98" i="12" s="1"/>
  <c r="M99" i="12"/>
  <c r="L99" i="12" s="1"/>
  <c r="J99" i="12" s="1"/>
  <c r="M100" i="12"/>
  <c r="L100" i="12" s="1"/>
  <c r="J100" i="12" s="1"/>
  <c r="M101" i="12"/>
  <c r="L101" i="12" s="1"/>
  <c r="J101" i="12" s="1"/>
  <c r="M102" i="12"/>
  <c r="L102" i="12" s="1"/>
  <c r="J102" i="12" s="1"/>
  <c r="M103" i="12"/>
  <c r="L103" i="12" s="1"/>
  <c r="J103" i="12" s="1"/>
  <c r="M104" i="12"/>
  <c r="L104" i="12" s="1"/>
  <c r="J104" i="12" s="1"/>
  <c r="M105" i="12"/>
  <c r="L105" i="12" s="1"/>
  <c r="J105" i="12" s="1"/>
  <c r="M106" i="12"/>
  <c r="L106" i="12" s="1"/>
  <c r="J106" i="12" s="1"/>
  <c r="M107" i="12"/>
  <c r="L107" i="12" s="1"/>
  <c r="J107" i="12" s="1"/>
  <c r="M108" i="12"/>
  <c r="L108" i="12" s="1"/>
  <c r="J108" i="12" s="1"/>
  <c r="M109" i="12"/>
  <c r="L109" i="12" s="1"/>
  <c r="J109" i="12" s="1"/>
  <c r="M60" i="12"/>
  <c r="L60" i="12" s="1"/>
  <c r="J60" i="12" s="1"/>
  <c r="M61" i="12"/>
  <c r="L61" i="12" s="1"/>
  <c r="J61" i="12" s="1"/>
  <c r="M62" i="12"/>
  <c r="L62" i="12" s="1"/>
  <c r="J62" i="12" s="1"/>
  <c r="M64" i="12"/>
  <c r="L64" i="12" s="1"/>
  <c r="J64" i="12" s="1"/>
  <c r="M65" i="12"/>
  <c r="L65" i="12" s="1"/>
  <c r="J65" i="12" s="1"/>
  <c r="M66" i="12"/>
  <c r="L66" i="12" s="1"/>
  <c r="J66" i="12" s="1"/>
  <c r="M67" i="12"/>
  <c r="L67" i="12" s="1"/>
  <c r="J67" i="12" s="1"/>
  <c r="M68" i="12"/>
  <c r="L68" i="12" s="1"/>
  <c r="J68" i="12" s="1"/>
  <c r="M69" i="12"/>
  <c r="L69" i="12" s="1"/>
  <c r="J69" i="12" s="1"/>
  <c r="M70" i="12"/>
  <c r="L70" i="12" s="1"/>
  <c r="J70" i="12" s="1"/>
  <c r="M71" i="12"/>
  <c r="L71" i="12" s="1"/>
  <c r="J71" i="12" s="1"/>
  <c r="M72" i="12"/>
  <c r="L72" i="12" s="1"/>
  <c r="J72" i="12" s="1"/>
  <c r="M73" i="12"/>
  <c r="L73" i="12" s="1"/>
  <c r="J73" i="12" s="1"/>
  <c r="M74" i="12"/>
  <c r="L74" i="12" s="1"/>
  <c r="J74" i="12" s="1"/>
  <c r="M75" i="12"/>
  <c r="L75" i="12" s="1"/>
  <c r="J75" i="12" s="1"/>
  <c r="M76" i="12"/>
  <c r="L76" i="12" s="1"/>
  <c r="J76" i="12" s="1"/>
  <c r="M77" i="12"/>
  <c r="L77" i="12" s="1"/>
  <c r="J77" i="12" s="1"/>
  <c r="M78" i="12"/>
  <c r="L78" i="12" s="1"/>
  <c r="J78" i="12" s="1"/>
  <c r="M79" i="12"/>
  <c r="L79" i="12" s="1"/>
  <c r="J79" i="12" s="1"/>
  <c r="M80" i="12"/>
  <c r="L80" i="12" s="1"/>
  <c r="J80" i="12" s="1"/>
  <c r="M81" i="12"/>
  <c r="L81" i="12" s="1"/>
  <c r="J81" i="12" s="1"/>
  <c r="M52" i="12"/>
  <c r="L52" i="12" s="1"/>
  <c r="J52" i="12" s="1"/>
  <c r="M53" i="12"/>
  <c r="L53" i="12" s="1"/>
  <c r="J53" i="12" s="1"/>
  <c r="M54" i="12"/>
  <c r="L54" i="12" s="1"/>
  <c r="J54" i="12" s="1"/>
  <c r="M56" i="12"/>
  <c r="L56" i="12" s="1"/>
  <c r="J56" i="12" s="1"/>
  <c r="M57" i="12"/>
  <c r="L57" i="12" s="1"/>
  <c r="J57" i="12" s="1"/>
  <c r="M58" i="12"/>
  <c r="L58" i="12" s="1"/>
  <c r="J58" i="12" s="1"/>
  <c r="M49" i="12"/>
  <c r="L49" i="12" s="1"/>
  <c r="J49" i="12" s="1"/>
  <c r="M46" i="12"/>
  <c r="L46" i="12" s="1"/>
  <c r="J46" i="12" s="1"/>
  <c r="M48" i="12"/>
  <c r="L48" i="12" s="1"/>
  <c r="J48" i="12" s="1"/>
  <c r="M39" i="12"/>
  <c r="L39" i="12" s="1"/>
  <c r="J39" i="12" s="1"/>
  <c r="M19" i="12"/>
  <c r="L19" i="12" s="1"/>
  <c r="J19" i="12" s="1"/>
  <c r="M20" i="12"/>
  <c r="L20" i="12" s="1"/>
  <c r="J20" i="12" s="1"/>
  <c r="M21" i="12"/>
  <c r="L21" i="12" s="1"/>
  <c r="J21" i="12" s="1"/>
  <c r="M22" i="12"/>
  <c r="L22" i="12" s="1"/>
  <c r="J22" i="12" s="1"/>
  <c r="M23" i="12"/>
  <c r="L23" i="12" s="1"/>
  <c r="J23" i="12" s="1"/>
  <c r="M24" i="12"/>
  <c r="L24" i="12" s="1"/>
  <c r="J24" i="12" s="1"/>
  <c r="M25" i="12"/>
  <c r="L25" i="12" s="1"/>
  <c r="J25" i="12" s="1"/>
  <c r="M26" i="12"/>
  <c r="L26" i="12" s="1"/>
  <c r="J26" i="12" s="1"/>
  <c r="M27" i="12"/>
  <c r="L27" i="12" s="1"/>
  <c r="J27" i="12" s="1"/>
  <c r="M28" i="12"/>
  <c r="L28" i="12" s="1"/>
  <c r="J28" i="12" s="1"/>
  <c r="M29" i="12"/>
  <c r="L29" i="12" s="1"/>
  <c r="J29" i="12" s="1"/>
  <c r="M30" i="12"/>
  <c r="L30" i="12" s="1"/>
  <c r="J30" i="12" s="1"/>
  <c r="M31" i="12"/>
  <c r="L31" i="12" s="1"/>
  <c r="J31" i="12" s="1"/>
  <c r="M32" i="12"/>
  <c r="L32" i="12" s="1"/>
  <c r="J32" i="12" s="1"/>
  <c r="M33" i="12"/>
  <c r="L33" i="12" s="1"/>
  <c r="J33" i="12" s="1"/>
  <c r="M34" i="12"/>
  <c r="L34" i="12" s="1"/>
  <c r="J34" i="12" s="1"/>
  <c r="M2" i="12"/>
  <c r="L2" i="12" s="1"/>
  <c r="J2" i="12" s="1"/>
  <c r="M3" i="12"/>
  <c r="L3" i="12" s="1"/>
  <c r="J3" i="12" s="1"/>
  <c r="M4" i="12"/>
  <c r="L4" i="12" s="1"/>
  <c r="J4" i="12" s="1"/>
  <c r="M5" i="12"/>
  <c r="L5" i="12" s="1"/>
  <c r="J5" i="12" s="1"/>
  <c r="M6" i="12"/>
  <c r="L6" i="12" s="1"/>
  <c r="J6" i="12" s="1"/>
  <c r="M7" i="12"/>
  <c r="L7" i="12" s="1"/>
  <c r="J7" i="12" s="1"/>
  <c r="M8" i="12"/>
  <c r="L8" i="12" s="1"/>
  <c r="J8" i="12" s="1"/>
  <c r="M9" i="12"/>
  <c r="L9" i="12" s="1"/>
  <c r="J9" i="12" s="1"/>
  <c r="M10" i="12"/>
  <c r="L10" i="12" s="1"/>
  <c r="J10" i="12" s="1"/>
  <c r="M11" i="12"/>
  <c r="L11" i="12" s="1"/>
  <c r="J11" i="12" s="1"/>
  <c r="M12" i="12"/>
  <c r="L12" i="12" s="1"/>
  <c r="J12" i="12" s="1"/>
  <c r="M13" i="12"/>
  <c r="L13" i="12" s="1"/>
  <c r="J13" i="12" s="1"/>
  <c r="M14" i="12"/>
  <c r="L14" i="12" s="1"/>
  <c r="J14" i="12" s="1"/>
  <c r="M15" i="12"/>
  <c r="L15" i="12" s="1"/>
  <c r="J15" i="12" s="1"/>
  <c r="M16" i="12"/>
  <c r="L16" i="12" s="1"/>
  <c r="J16" i="12" s="1"/>
  <c r="M17" i="12"/>
  <c r="L17" i="12" s="1"/>
  <c r="J17" i="12" s="1"/>
  <c r="M18" i="12"/>
  <c r="L18" i="12" s="1"/>
  <c r="J18" i="12" s="1"/>
</calcChain>
</file>

<file path=xl/sharedStrings.xml><?xml version="1.0" encoding="utf-8"?>
<sst xmlns="http://schemas.openxmlformats.org/spreadsheetml/2006/main" count="3585" uniqueCount="2138">
  <si>
    <t>provincia</t>
  </si>
  <si>
    <t>localidad</t>
  </si>
  <si>
    <t>Nombre</t>
  </si>
  <si>
    <t>Direccion</t>
  </si>
  <si>
    <t>Telefono</t>
  </si>
  <si>
    <t>Mail</t>
  </si>
  <si>
    <t>Category</t>
  </si>
  <si>
    <t>Website</t>
  </si>
  <si>
    <t>precio</t>
  </si>
  <si>
    <t>cpm</t>
  </si>
  <si>
    <t>miles</t>
  </si>
  <si>
    <t>registros</t>
  </si>
  <si>
    <t>A Coruña</t>
  </si>
  <si>
    <t>A Aldea De Arriba (Santa Marta De Babio - Bergondo)</t>
  </si>
  <si>
    <t>https://gsas.es/producto/base-de-datos-de-empresas-de-la-localidad-de-a-aldea-de-arriba-en-la-provincia-de-a-coruna/</t>
  </si>
  <si>
    <t>A Barcala Cambre)</t>
  </si>
  <si>
    <t>https://gsas.es/producto/base-de-datos-de-empresas-de-la-localidad-de-a-barcala-en-la-provincia-de-a-coruna/</t>
  </si>
  <si>
    <t>https://gsas.es/producto/base-de-datos-de-empresas-de-la-localidad-de-la-coruna-en-la-provincia-de-a-coruna/</t>
  </si>
  <si>
    <t>Pontevedra</t>
  </si>
  <si>
    <t>A Estrada</t>
  </si>
  <si>
    <t>https://gsas.es/producto/base-de-datos-de-empresas-de-la-localidad-de-a-estrada-en-la-provincia-de-pontevedra/</t>
  </si>
  <si>
    <t>Vizcaya</t>
  </si>
  <si>
    <t>Abadiño</t>
  </si>
  <si>
    <t>https://gsas.es/producto/base-de-datos-de-empresas-de-la-localidad-de-abadino-en-la-provincia-de-vizcaya/</t>
  </si>
  <si>
    <t>Tenerife</t>
  </si>
  <si>
    <t>Abama</t>
  </si>
  <si>
    <t>https://gsas.es/producto/base-de-datos-de-empresas-de-la-localidad-de-abama-en-la-provincia-de-tenerife/</t>
  </si>
  <si>
    <t>Asturias</t>
  </si>
  <si>
    <t>Abamia</t>
  </si>
  <si>
    <t>https://gsas.es/producto/base-de-datos-de-empresas-de-la-localidad-de-abamia-provincia-de-asturias/</t>
  </si>
  <si>
    <t>Abanto</t>
  </si>
  <si>
    <t>https://gsas.es/producto/base-de-datos-de-empresas-de-la-localidad-de-abanto-en-la-provincia-de-vizcaya/</t>
  </si>
  <si>
    <t>Murcia</t>
  </si>
  <si>
    <t>Abaran</t>
  </si>
  <si>
    <t>https://gsas.es/producto/base-de-datos-de-empresas-de-la-localidad-de-abaran-en-la-provincia-de-murcia/</t>
  </si>
  <si>
    <t>Abegondo</t>
  </si>
  <si>
    <t>https://gsas.es/producto/base-de-datos-de-empresas-de-la-localidad-de-abegondo-en-la-provincia-de-a-coruna/</t>
  </si>
  <si>
    <t>Cordoba</t>
  </si>
  <si>
    <t>https://gsas.es/producto/base-de-datos-de-empresas-de-la-localidad-de-abejorreras-en-la-provincia-de-cordoba/</t>
  </si>
  <si>
    <t>Abio</t>
  </si>
  <si>
    <t>https://gsas.es/producto/base-de-datos-de-empresas-de-la-localidad-de-abio-en-la-provincia-de-alicante/</t>
  </si>
  <si>
    <t>Abranedo</t>
  </si>
  <si>
    <t>https://gsas.es/producto/base-de-datos-de-empresas-de-la-localidad-de-abranedo-en-la-provincia-de-asturias/</t>
  </si>
  <si>
    <t>Barcelona</t>
  </si>
  <si>
    <t>Abrera</t>
  </si>
  <si>
    <t>https://gsas.es/producto/base-de-datos-de-empresas-de-la-localidad-de-abrera-en-la-provincia-de-barcelona/</t>
  </si>
  <si>
    <t>Abuli</t>
  </si>
  <si>
    <t>https://gsas.es/producto/base-de-datos-de-empresas-de-la-localidad-de-abuli-en-la-provincia-de-asturias/</t>
  </si>
  <si>
    <t>Acantilados De Los Gigantes</t>
  </si>
  <si>
    <t>https://gsas.es/producto/base-de-datos-de-empresas-de-la-localidad-de-acantilados-de-los-gigantes-en-la-provincia-de-tenerife/</t>
  </si>
  <si>
    <t>Acea Da Ma (Fonteculler)</t>
  </si>
  <si>
    <t>https://gsas.es/producto/base-de-datos-de-empresas-de-la-localidad-de-acea-da-ma-en-la-provincia-de-a-coruna/</t>
  </si>
  <si>
    <t>Acea De Ama (O Burgo)</t>
  </si>
  <si>
    <t>https://gsas.es/producto/base-de-datos-de-empresas-de-la-localidad-de-acea-de-ama-en-la-provincia-de-a-coruna/</t>
  </si>
  <si>
    <t>Aceñas</t>
  </si>
  <si>
    <t>https://gsas.es/producto/base-de-datos-de-empresas-de-la-localidad-de-acenas-en-la-provincia-de-asturias/</t>
  </si>
  <si>
    <t>Guadalajara</t>
  </si>
  <si>
    <t>Acequilla</t>
  </si>
  <si>
    <t>https://gsas.es/producto/base-de-datos-de-empresas-de-la-localidad-de-acequilla-en-la-provincia-de-guadalajara/</t>
  </si>
  <si>
    <t>Badajoz</t>
  </si>
  <si>
    <t>Aceuchal</t>
  </si>
  <si>
    <t>https://gsas.es/producto/base-de-datos-de-empresas-de-la-localidad-de-aceuchal-en-la-provincia-de-badajoz/</t>
  </si>
  <si>
    <t>Acoran</t>
  </si>
  <si>
    <t>https://gsas.es/producto/base-de-datos-de-empresas-de-la-localidad-de-acoran-en-la-provincia-de-tenerife/</t>
  </si>
  <si>
    <t>https://gsas.es/producto/base-de-datos-de-empresas-de-la-localidad-de-adeje-casco-en-la-provincia-de-tenerife/</t>
  </si>
  <si>
    <t>Almeria</t>
  </si>
  <si>
    <t>Adra</t>
  </si>
  <si>
    <t>https://gsas.es/producto/base-de-datos-de-empresas-de-la-localidad-de-adra-en-la-provincia-de-almeria/</t>
  </si>
  <si>
    <t>Guipuzcoa</t>
  </si>
  <si>
    <t>Aduna</t>
  </si>
  <si>
    <t>https://gsas.es/producto/base-de-datos-de-empresas-de-la-localidad-de-aduana-en-la-provincia-de-guipuzcoa/</t>
  </si>
  <si>
    <t>Islas Baleares</t>
  </si>
  <si>
    <t>Aeroport D Eivissa</t>
  </si>
  <si>
    <t>https://gsas.es/producto/base-de-datos-de-empresas-de-la-localidad-de-aeroport-d-eivissa-en-la-provincia-de-islas-baleares/</t>
  </si>
  <si>
    <t>Aeropuerto De Alvedro</t>
  </si>
  <si>
    <t>https://gsas.es/producto/base-de-datos-de-empresas-de-la-localidad-de-aeropuerto-de-alvedro-en-la-provincia-de-a-coruna/</t>
  </si>
  <si>
    <t>Aeropuerto De Loiu</t>
  </si>
  <si>
    <t>https://gsas.es/producto/base-de-datos-de-empresas-de-la-localidad-de-aeropuerto-de-loiu-en-la-provincia-de-vizcaya/</t>
  </si>
  <si>
    <t>Navarra</t>
  </si>
  <si>
    <t xml:space="preserve">Aeropuerto De Noain </t>
  </si>
  <si>
    <t>https://gsas.es/producto/base-de-datos-de-empresas-de-la-localidad-de-aeropuerto-de-noain-en-la-provincia-de-navarra/</t>
  </si>
  <si>
    <t>Burgos</t>
  </si>
  <si>
    <t>Ages</t>
  </si>
  <si>
    <t>https://gsas.es/producto/base-de-datos-de-empresas-de-la-localidad-de-ages-en-la-provincia-de-burgos/</t>
  </si>
  <si>
    <t>Aginaga (Eibar)</t>
  </si>
  <si>
    <t>https://gsas.es/producto/base-de-datos-de-empresas-de-la-localidad-de-aginaga-en-la-provincia-de-guipuzcoa/</t>
  </si>
  <si>
    <t>Aginaga (Usurbil)</t>
  </si>
  <si>
    <t>https://gsas.es/producto/base-de-datos-de-empresas-de-la-localidad-de-aginaga-de-eibar-en-la-provincia-de-guipuzcoa-gipuzkoa/</t>
  </si>
  <si>
    <t>Agirre</t>
  </si>
  <si>
    <t>https://gsas.es/producto/base-de-datos-de-empresas-de-la-localidad-de-agirre-en-la-provincia-de-vizcaya/</t>
  </si>
  <si>
    <t>https://gsas.es/producto/base-de-datos-de-empresas-de-la-localidad-de-agirre-aperribai-en-la-provincia-de-vizcaya/</t>
  </si>
  <si>
    <t>Agirre (Bermeo)</t>
  </si>
  <si>
    <t>https://gsas.es/producto/base-de-datos-de-empresas-de-la-localidad-de-agirre-aperribai-en-la-provincia-de-vizcaya-bizkaia</t>
  </si>
  <si>
    <t>Agoso (Santa Baia De Oza - Teo)</t>
  </si>
  <si>
    <t>https://gsas.es/producto/base-de-datos-de-empresas-de-la-localidad-de-agoso-en-la-provincia-de-a-coruna/</t>
  </si>
  <si>
    <t>Agost</t>
  </si>
  <si>
    <t>https://gsas.es/producto/base-de-datos-de-empresas-de-la-localidad-de-agost-en-la-provincia-de-alicante/</t>
  </si>
  <si>
    <t>Agramunt</t>
  </si>
  <si>
    <t>https://gsas.es/producto/base-de-datos-de-empresas-de-la-localidad-de-agras-en-la-provincia-de-a-coruna/</t>
  </si>
  <si>
    <t>Aguadulce</t>
  </si>
  <si>
    <t>Aguain</t>
  </si>
  <si>
    <t>Palencia</t>
  </si>
  <si>
    <t>Aguilar De Campoo</t>
  </si>
  <si>
    <t>Aguilar De La Frontera</t>
  </si>
  <si>
    <t>Aguilas</t>
  </si>
  <si>
    <t>https://gsas.es/producto/base-de-datos-de-empresas-de-la-localidad-de-aguilas-en-la-provincia-de-murcia/</t>
  </si>
  <si>
    <t>Alava</t>
  </si>
  <si>
    <t>Agurain</t>
  </si>
  <si>
    <t>Aiastia (San Miguel)</t>
  </si>
  <si>
    <t>Huesca</t>
  </si>
  <si>
    <t>Ainsa</t>
  </si>
  <si>
    <t>Aita San Miguel</t>
  </si>
  <si>
    <t>Aitza</t>
  </si>
  <si>
    <t>Aizoain</t>
  </si>
  <si>
    <t>Madrid</t>
  </si>
  <si>
    <t>Ajalvir</t>
  </si>
  <si>
    <t>https://gsas.es/producto/base-de-datos-de-empresas-de-la-localidad-de-ajalvir-en-la-provincia-de-madrid/</t>
  </si>
  <si>
    <t>Akartegi</t>
  </si>
  <si>
    <t>Akerregi</t>
  </si>
  <si>
    <t>https://gsas.es/producto/base-de-datos-de-empresas-de-la-localidad-de-akerregi-en-la-provincia-de-guipuzcoa-gipuzkoa/</t>
  </si>
  <si>
    <t>Aketxe</t>
  </si>
  <si>
    <t>https://gsas.es/producto/base-de-datos-de-empresas-de-la-localidad-de-aketxe-en-la-provincia-de-vizcaya-bizkaia/</t>
  </si>
  <si>
    <t>Aladid</t>
  </si>
  <si>
    <t>Zaragoza</t>
  </si>
  <si>
    <t>Alagon</t>
  </si>
  <si>
    <t>Alaior</t>
  </si>
  <si>
    <t>Alameda</t>
  </si>
  <si>
    <t>https://gsas.es/producto/base-de-datos-de-empresas-de-la-localidad-de-alameda-en-la-provincia-de-madrid/</t>
  </si>
  <si>
    <t>Sevilla</t>
  </si>
  <si>
    <t>Alamedilla</t>
  </si>
  <si>
    <t>https://gsas.es/producto/base-de-datos-de-empresas-de-la-localidad-de-alamedilla-en-la-provincia-de-sevilla/</t>
  </si>
  <si>
    <t>Alamillo</t>
  </si>
  <si>
    <t>Alaro</t>
  </si>
  <si>
    <t>Salamanca</t>
  </si>
  <si>
    <t>Alba De Tormes</t>
  </si>
  <si>
    <t>Albacete</t>
  </si>
  <si>
    <t>https://gsas.es/producto/base-de-datos-de-empresas-de-la-localidad-de-albacete-en-la-provincia-de-albacete/</t>
  </si>
  <si>
    <t>Albatera</t>
  </si>
  <si>
    <t>https://gsas.es/producto/base-de-datos-de-empresas-de-la-localidad-de-alamillo-en-la-provincia-de-murcia/</t>
  </si>
  <si>
    <t>Albox</t>
  </si>
  <si>
    <t>Alburquerque</t>
  </si>
  <si>
    <t>Alcala</t>
  </si>
  <si>
    <t>Alcala de Henares</t>
  </si>
  <si>
    <t>https://gsas.es/producto/base-de-datos-de-empresas-de-la-localidad-de-alcala-de-henares-en-la-provincia-de-madrid/</t>
  </si>
  <si>
    <t>Cadiz</t>
  </si>
  <si>
    <t>Alcala De Los Gazules</t>
  </si>
  <si>
    <t>Castellon</t>
  </si>
  <si>
    <t>Alcala De Xivert</t>
  </si>
  <si>
    <t>Alcala Del Rio</t>
  </si>
  <si>
    <t>https://gsas.es/producto/base-de-datos-de-empresas-de-la-localidad-de-alcala-del-rio-en-la-provincia-de-sevilla/</t>
  </si>
  <si>
    <t>Jaen</t>
  </si>
  <si>
    <t>Alcala La Real</t>
  </si>
  <si>
    <t>Tarragona</t>
  </si>
  <si>
    <t>Alcanar</t>
  </si>
  <si>
    <t>Alcanara</t>
  </si>
  <si>
    <t>https://gsas.es/producto/base-de-datos-de-empresas-de-la-localidad-de-alcanara-en-la-provincia-de-murcia/</t>
  </si>
  <si>
    <t>https://gsas.es/producto/base-de-datos-de-empresas-de-la-localidad-de-alcantarilla-en-la-provincia-de-murcia/</t>
  </si>
  <si>
    <t>Alcantarilla</t>
  </si>
  <si>
    <t>https://gsas.es/producto/base-de-datos-de-empresas-de-la-localidad-de-albatera-en-la-provincia-de-alicante/</t>
  </si>
  <si>
    <t>Teruel</t>
  </si>
  <si>
    <t>Alcañiz</t>
  </si>
  <si>
    <t>https://gsas.es/producto/base-de-datos-de-empresas-de-la-localidad-de-alcaniz-en-la-provincia-de-teruel/</t>
  </si>
  <si>
    <t>Alcarras</t>
  </si>
  <si>
    <t>Alcasar</t>
  </si>
  <si>
    <t>Alcaudete</t>
  </si>
  <si>
    <t>Ciudad Real</t>
  </si>
  <si>
    <t>Alcazar De San Juan</t>
  </si>
  <si>
    <t>https://gsas.es/producto/base-de-datos-de-empresas-de-la-localidad-de-alcazar-de-san-juan-en-la-provincia-de-ciudad-real/</t>
  </si>
  <si>
    <t>Alcobendas</t>
  </si>
  <si>
    <t>https://gsas.es/producto/base-de-datos-de-empresas-de-la-localidad-de-alcobendas-en-la-provincia-de-madrid/</t>
  </si>
  <si>
    <t>https://gsas.es/producto/base-de-datos-de-empresas-de-la-localidad-de-alcasar-en-la-provincia-de-alicante/</t>
  </si>
  <si>
    <t>https://gsas.es/producto/base-de-datos-de-empresas-de-la-localidad-de-alcoi-alcoy-en-la-provincia-de-alicante-alacant/</t>
  </si>
  <si>
    <t>Alcorcon</t>
  </si>
  <si>
    <t>https://gsas.es/producto/base-de-datos-de-empresas-de-la-localidad-de-alcorcon-en-la-provincia-de-madrid/</t>
  </si>
  <si>
    <t>Alcossebre</t>
  </si>
  <si>
    <t>Alcover</t>
  </si>
  <si>
    <t>Alcudia</t>
  </si>
  <si>
    <t>https://gsas.es/producto/base-de-datos-de-empresas-de-la-localidad-de-alcudia-en-la-provincia-de-islas-baleares-iles-balears/</t>
  </si>
  <si>
    <t>Aldana</t>
  </si>
  <si>
    <t>https://gsas.es/producto/base-de-datos-de-empresas-de-la-localidad-de-aldana-en-la-provincia-de-vizcaya-bizkaia/</t>
  </si>
  <si>
    <t>Leon</t>
  </si>
  <si>
    <t>Aldea De La Valdoncina</t>
  </si>
  <si>
    <t>Aldea De Los Rios</t>
  </si>
  <si>
    <t>Aldea Nova</t>
  </si>
  <si>
    <t>https://gsas.es/producto/base-de-datos-de-empresas-de-la-localidad-de-aldea-nova-en-la-provincia-de-a-coruna/</t>
  </si>
  <si>
    <t>Valladolid</t>
  </si>
  <si>
    <t>Aldeamayor De San Martin</t>
  </si>
  <si>
    <t>Aldekona (San Isidro)</t>
  </si>
  <si>
    <t>Alella</t>
  </si>
  <si>
    <t>https://gsas.es/producto/base-de-datos-de-empresas-de-la-localidad-de-alella-en-la-provincia-de-barcelona/</t>
  </si>
  <si>
    <t>valencia</t>
  </si>
  <si>
    <t>La Rioja</t>
  </si>
  <si>
    <t>Alfaro</t>
  </si>
  <si>
    <t>https://gsas.es/producto/base-de-datos-de-empresas-de-la-localidad-de-alfaro-en-la-provincia-de-la-rioja/</t>
  </si>
  <si>
    <t>Algarbes</t>
  </si>
  <si>
    <t>Algars</t>
  </si>
  <si>
    <t>Algeciras</t>
  </si>
  <si>
    <t>https://gsas.es/producto/base-de-datos-de-empresas-de-la-localidad-de-algeciras-en-la-provincia-de-cadiz/</t>
  </si>
  <si>
    <t>Algete</t>
  </si>
  <si>
    <t>https://gsas.es/producto/base-de-datos-de-empresas-de-la-localidad-de-algete-en-la-provincia-de-madrid/</t>
  </si>
  <si>
    <t>Algodonales</t>
  </si>
  <si>
    <t>Alguazas</t>
  </si>
  <si>
    <t>https://gsas.es/producto/base-de-datos-de-empresas-de-la-localidad-de-algars-en-la-provincia-de-alicante/</t>
  </si>
  <si>
    <t>Alhama De Murcia</t>
  </si>
  <si>
    <t>https://gsas.es/producto/base-de-datos-de-empresas-de-la-localidad-de-alguazas-en-la-provincia-de-murcia/</t>
  </si>
  <si>
    <t>https://gsas.es/producto/base-de-datos-de-empresas-de-la-localidad-de-alhama-de-murcia-en-la-provincia-de-murcia/</t>
  </si>
  <si>
    <t>Malaga</t>
  </si>
  <si>
    <t>Alhaurin El Grande</t>
  </si>
  <si>
    <t>https://gsas.es/producto/base-de-datos-de-empresas-de-la-localidad-de-alicante-alacant-en-la-provincia-de-alicante-alacant/</t>
  </si>
  <si>
    <t>Huelva</t>
  </si>
  <si>
    <t>Aljaraque</t>
  </si>
  <si>
    <t>Aljucer</t>
  </si>
  <si>
    <t>Allariz</t>
  </si>
  <si>
    <t>Almacelles</t>
  </si>
  <si>
    <t>Almaden</t>
  </si>
  <si>
    <t>https://gsas.es/producto/base-de-datos-de-empresas-de-la-localidad-de-aljucer-en-la-provincia-de-murcia/</t>
  </si>
  <si>
    <t>https://gsas.es/producto/base-de-datos-de-empresas-de-la-localidad-de-almafra-en-la-provincia-de-alicante/</t>
  </si>
  <si>
    <t>Almagro</t>
  </si>
  <si>
    <t>Almansa</t>
  </si>
  <si>
    <t>https://gsas.es/producto/base-de-datos-de-empresas-de-la-localidad-de-almansa-en-la-provincia-de-albacete/</t>
  </si>
  <si>
    <t>https://gsas.es/producto/bases-de-datos-de-empresas-localidad-almassora-provincia-castellon/</t>
  </si>
  <si>
    <t>Soria</t>
  </si>
  <si>
    <t>Almazan</t>
  </si>
  <si>
    <t>Almedia</t>
  </si>
  <si>
    <t>https://gsas.es/producto/base-de-datos-de-empresas-de-la-localidad-de-almajal-en-la-provincia-de-alicante/</t>
  </si>
  <si>
    <t>Almenara</t>
  </si>
  <si>
    <t>Almendralejo</t>
  </si>
  <si>
    <t>https://gsas.es/producto/base-de-datos-de-empresas-de-la-localidad-de-almendralejo-en-la-provincia-de-badajoz/</t>
  </si>
  <si>
    <t>https://gsas.es/producto/base-de-datos-de-empresas-de-la-localidad-de-almeria-en-la-provincia-de-almeria/</t>
  </si>
  <si>
    <t>Almerimar</t>
  </si>
  <si>
    <t>Almodovar Del Rio</t>
  </si>
  <si>
    <t>Almonte</t>
  </si>
  <si>
    <t>Almoradi</t>
  </si>
  <si>
    <t>https://gsas.es/producto/base-de-datos-de-empresas-de-la-localidad-de-almedia-en-la-provincia-de-alicante/</t>
  </si>
  <si>
    <t>Almuña</t>
  </si>
  <si>
    <t>Alora</t>
  </si>
  <si>
    <t>Alovera</t>
  </si>
  <si>
    <t>Alp</t>
  </si>
  <si>
    <t>https://gsas.es/producto/base-de-datos-de-empresas-de-la-localidad-de-almoradi-en-la-provincia-de-alicante/</t>
  </si>
  <si>
    <t>Alpedrete</t>
  </si>
  <si>
    <t>https://gsas.es/producto/base-de-datos-de-empresas-de-la-localidad-de-alpedrete-en-la-provincia-de-madrid/</t>
  </si>
  <si>
    <t>Alpicat</t>
  </si>
  <si>
    <t>https://gsas.es/producto/base-de-datos-de-empresas-de-la-localidad-de-alquebla-en-la-provincia-de-alicante/</t>
  </si>
  <si>
    <t>Alquerias</t>
  </si>
  <si>
    <t>https://gsas.es/producto/base-de-datos-de-empresas-de-la-localidad-de-alquerias-en-la-provincia-de-murcia/</t>
  </si>
  <si>
    <t>Alquerias De Santa Barbara</t>
  </si>
  <si>
    <t>Alquerias Del Niño Perdido</t>
  </si>
  <si>
    <t>Altafulla</t>
  </si>
  <si>
    <t>Altamira</t>
  </si>
  <si>
    <t>Altea</t>
  </si>
  <si>
    <t>https://gsas.es/producto/base-de-datos-de-empresas-de-la-localidad-de-altea-en-la-provincia-de-alicante-alacant/</t>
  </si>
  <si>
    <t>https://gsas.es/producto/base-de-datos-de-empresas-de-la-localidad-de-alto-del-castano-en-la-provincia-de-a-coruna/</t>
  </si>
  <si>
    <t>Alto Palomo</t>
  </si>
  <si>
    <t>Altomira</t>
  </si>
  <si>
    <t>https://gsas.es/producto/base-de-datos-de-empresas-de-la-localidad-de-altomira-en-la-provincia-de-alicante-alacant/</t>
  </si>
  <si>
    <t>https://gsas.es/producto/base-de-datos-de-empresas-de-la-localidad-de-alto-palomo-en-la-provincia-de-murcia/</t>
  </si>
  <si>
    <t>Altsasu - Alsasua</t>
  </si>
  <si>
    <t>Altzaga</t>
  </si>
  <si>
    <t>https://gsas.es/producto/base-de-datos-de-empresas-de-la-localidad-de-altzaga-en-la-provincia-de-vizcaya-bizkaia/</t>
  </si>
  <si>
    <t>Altzibar</t>
  </si>
  <si>
    <t>Alvare (Castrillon)</t>
  </si>
  <si>
    <t>https://gsas.es/producto/base-de-datos-de-empresas-de-la-localidad-de-alzira-en-la-provincia-de-valencia</t>
  </si>
  <si>
    <t>Amarilla Golf</t>
  </si>
  <si>
    <t>Ambroa (San Tiso)</t>
  </si>
  <si>
    <t>https://gsas.es/producto/base-de-datos-de-empresas-de-la-localidad-de-ambroa-en-la-provincia-de-a-coruna/</t>
  </si>
  <si>
    <t>Amposta</t>
  </si>
  <si>
    <t>https://gsas.es/producto/base-de-datos-de-empresas-de-la-localidad-de-amposta-en-la-provincia-de-tarragona/</t>
  </si>
  <si>
    <t>Amurrio</t>
  </si>
  <si>
    <t>Valencia</t>
  </si>
  <si>
    <t>https://gsas.es/producto/base-de-datos-de-empresas-de-la-localidad-de-anahuir-en-la-provincia-de-valencia/</t>
  </si>
  <si>
    <t>Andines</t>
  </si>
  <si>
    <t>Andoain</t>
  </si>
  <si>
    <t>Andorra</t>
  </si>
  <si>
    <t>Andraka</t>
  </si>
  <si>
    <t>Andratx</t>
  </si>
  <si>
    <t>Andujar</t>
  </si>
  <si>
    <t>https://gsas.es/producto/base-de-datos-de-empresas-de-la-localidad-de-andujar-en-la-provincia-de-jaen/</t>
  </si>
  <si>
    <t>Aneiros (Serantes, S. Salvador)</t>
  </si>
  <si>
    <t>Angles</t>
  </si>
  <si>
    <t>https://gsas.es/producto/base-de-datos-de-empresas-de-la-localidad-de-aspe-en-la-provincia-de-alicante/</t>
  </si>
  <si>
    <t>Anjaron</t>
  </si>
  <si>
    <t>Anllons (San Fins)</t>
  </si>
  <si>
    <t>Ansoain</t>
  </si>
  <si>
    <t>https://gsas.es/producto/base-de-datos-de-empresas-de-la-localidad-de-ansoain-en-la-provincia-de-navarra/</t>
  </si>
  <si>
    <t>Antas</t>
  </si>
  <si>
    <t>Antequera</t>
  </si>
  <si>
    <t>Antzanborda</t>
  </si>
  <si>
    <t>Añina</t>
  </si>
  <si>
    <t>Añorga</t>
  </si>
  <si>
    <t>https://gsas.es/producto/base-de-datos-de-empresas-de-la-localidad-de-base-de-datos-de-empresas-de-la-localidad-de-anorga-en-la-provincia-de-guipuzcoa-gipuzkoa-en-la-provincia-de-guipuzcoa-gipuzkoa/</t>
  </si>
  <si>
    <t>Aozaratza</t>
  </si>
  <si>
    <t>Apartacaminos</t>
  </si>
  <si>
    <t>https://gsas.es/producto/base-de-datos-de-empresas-de-la-localidad-de-apartacaminos-en-la-provincia-de-tenerife/</t>
  </si>
  <si>
    <t>Arabuya (Aviles)</t>
  </si>
  <si>
    <t>Aracena</t>
  </si>
  <si>
    <t>Arafo</t>
  </si>
  <si>
    <t>Arahal</t>
  </si>
  <si>
    <t>https://gsas.es/producto/base-de-datos-de-empresas-de-la-localidad-de-arahal-en-la-provincia-de-sevilla/</t>
  </si>
  <si>
    <t>Arana</t>
  </si>
  <si>
    <t>https://gsas.es/producto/base-de-datos-de-empresas-de-la-localidad-de-arana-en-la-provincia-de-vizcaya-bizkaia/</t>
  </si>
  <si>
    <t>Aranda De Duero</t>
  </si>
  <si>
    <t>https://gsas.es/producto/base-de-datos-de-empresas-de-la-localidad-de-aranda-del-duero-en-la-provincia-de-burgos/</t>
  </si>
  <si>
    <t>Aranguren</t>
  </si>
  <si>
    <t>https://gsas.es/producto/base-de-datos-de-empresas-de-la-localidad-de-aranguren-en-la-provincia-de-navarra/</t>
  </si>
  <si>
    <t>Aranjuez</t>
  </si>
  <si>
    <t>https://gsas.es/producto/base-de-datos-de-empresas-de-la-localidad-de-aranjuez-en-la-provincia-de-madrid/</t>
  </si>
  <si>
    <t>Aranoltza (San Antolin)</t>
  </si>
  <si>
    <t>Arantzazu</t>
  </si>
  <si>
    <t>Arbucies</t>
  </si>
  <si>
    <t>https://gsas.es/producto/base-de-datos-de-empresas-de-la-localidad-de-atamaria-en-la-provincia-de-murcia/</t>
  </si>
  <si>
    <t>Arca (Santa Eulalia)</t>
  </si>
  <si>
    <t>Arcenoyo</t>
  </si>
  <si>
    <t>Archidona</t>
  </si>
  <si>
    <t>Arcos (Santa Maria)</t>
  </si>
  <si>
    <t>Arcos De La Llana</t>
  </si>
  <si>
    <t>Ardesende</t>
  </si>
  <si>
    <t>Arenal S</t>
  </si>
  <si>
    <t>Arenys De Mar</t>
  </si>
  <si>
    <t>https://gsas.es/producto/base-de-datos-de-empresas-de-la-localidad-de-arenys-de-mar-en-la-provincia-de-barcelona/</t>
  </si>
  <si>
    <t>Arenys De Munt</t>
  </si>
  <si>
    <t>https://gsas.es/producto/base-de-datos-de-empresas-de-la-localidad-de-arenys-de-munt-en-la-provincia-de-barcelona/</t>
  </si>
  <si>
    <t>Argamasilla De Alba</t>
  </si>
  <si>
    <t>Argamasilla De Calatrava</t>
  </si>
  <si>
    <t>Arganda Del Rey</t>
  </si>
  <si>
    <t>https://gsas.es/producto/base-de-datos-de-empresas-de-la-localidad-de-arganda-del-rey-en-la-provincia-de-madrid/</t>
  </si>
  <si>
    <t>Argañoso</t>
  </si>
  <si>
    <t>Argentona</t>
  </si>
  <si>
    <t>https://gsas.es/producto/base-de-datos-de-empresas-de-la-localidad-de-argentona-en-la-provincia-de-barcelona/</t>
  </si>
  <si>
    <t>Argual</t>
  </si>
  <si>
    <t>https://gsas.es/producto/base-de-datos-de-empresas-de-la-localidad-de-argual-en-la-provincia-de-tenerife/</t>
  </si>
  <si>
    <t>Las Palmas</t>
  </si>
  <si>
    <t>Arguineguin</t>
  </si>
  <si>
    <t>Arinaga</t>
  </si>
  <si>
    <t>https://gsas.es/producto/base-de-datos-de-empresas-de-la-localidad-de-arinaga-en-la-provincia-de-las-palmas/</t>
  </si>
  <si>
    <t>Arizgoiti</t>
  </si>
  <si>
    <t>https://gsas.es/producto/base-de-datos-de-empresas-de-la-localidad-de-arizgoiti-en-la-provincia-de-vizcaya-bizkaia/</t>
  </si>
  <si>
    <t>Arjona</t>
  </si>
  <si>
    <t>Arlegui</t>
  </si>
  <si>
    <t>https://gsas.es/producto/base-de-datos-de-empresas-de-la-localidad-de-arlegui-en-la-provincia-de-navarra/</t>
  </si>
  <si>
    <t>Armeñime</t>
  </si>
  <si>
    <t>Armunia</t>
  </si>
  <si>
    <t>Arnedo</t>
  </si>
  <si>
    <t>https://gsas.es/producto/base-de-datos-de-empresas-de-la-localidad-de-arnedo-en-la-provincia-de-la-rioja/</t>
  </si>
  <si>
    <t>Aroba</t>
  </si>
  <si>
    <t>Arrabal De San Sebastian</t>
  </si>
  <si>
    <t>Arrasate</t>
  </si>
  <si>
    <t>https://gsas.es/producto/base-de-datos-de-empresas-de-la-localidad-de-arrasate-en-la-provincia-de-guipuzcoa-gipuzkoa/</t>
  </si>
  <si>
    <t>Arrecife</t>
  </si>
  <si>
    <t>https://gsas.es/producto/base-de-datos-de-empresas-de-la-localidad-de-arrecife-en-la-provincia-de-las-palmas/</t>
  </si>
  <si>
    <t>Arriel</t>
  </si>
  <si>
    <t>Arrietamendi</t>
  </si>
  <si>
    <t>Arriondas</t>
  </si>
  <si>
    <t>Arroturas</t>
  </si>
  <si>
    <t>Arroyo (Llanera)</t>
  </si>
  <si>
    <t>Arroyo De La Encomienda</t>
  </si>
  <si>
    <t>Caceres</t>
  </si>
  <si>
    <t>Arroyo De La Luz</t>
  </si>
  <si>
    <t>Arroyo De La Miel</t>
  </si>
  <si>
    <t>Arroyomolinos</t>
  </si>
  <si>
    <t>https://gsas.es/producto/base-de-datos-de-empresas-de-la-localidad-de-arroyomolinos-en-la-provincia-de-madrid/</t>
  </si>
  <si>
    <t>Arta</t>
  </si>
  <si>
    <t xml:space="preserve">Arteixo </t>
  </si>
  <si>
    <t>Artesa De Segre</t>
  </si>
  <si>
    <t>Artzainerreka</t>
  </si>
  <si>
    <t>Arzua</t>
  </si>
  <si>
    <t>As Pontes De Garcia Rodriguez</t>
  </si>
  <si>
    <t>Aspe</t>
  </si>
  <si>
    <t>https://gsas.es/producto/base-de-datos-de-empresas-de-la-localidad-de-azarbe-en-la-provincia-de-murcia/</t>
  </si>
  <si>
    <t>Astigarraga</t>
  </si>
  <si>
    <t>Cantabria</t>
  </si>
  <si>
    <t>Astillero</t>
  </si>
  <si>
    <t>Astorga</t>
  </si>
  <si>
    <t>Atalaya</t>
  </si>
  <si>
    <t>Atalaya Isdabe</t>
  </si>
  <si>
    <t>Atamaria</t>
  </si>
  <si>
    <t>https://gsas.es/producto/base-de-datos-de-empresas-de-la-localidad-de-bacarot-en-la-provincia-de-alicante/</t>
  </si>
  <si>
    <t>Atares</t>
  </si>
  <si>
    <t>https://gsas.es/producto/base-de-datos-de-empresas-de-la-localidad-de-atares-en-la-provincia-de-huesca/</t>
  </si>
  <si>
    <t>Atarrabia</t>
  </si>
  <si>
    <t>Atela</t>
  </si>
  <si>
    <t>https://gsas.es/producto/base-de-datos-de-empresas-de-la-localidad-de-atela-en-la-provincia-de-vizcaya-bizkaia/</t>
  </si>
  <si>
    <t>Atogo</t>
  </si>
  <si>
    <t>https://gsas.es/producto/base-de-datos-de-empresas-de-la-localidad-de-atogo-en-la-provincia-de-tenerife/</t>
  </si>
  <si>
    <t>Atsobakar</t>
  </si>
  <si>
    <t>https://gsas.es/producto/base-de-datos-de-empresas-de-la-localidad-de-atsobakar-en-la-provincia-de-guipuzcoa-gipuzkoa/</t>
  </si>
  <si>
    <t>Auto Safari</t>
  </si>
  <si>
    <t>Auzotxikia</t>
  </si>
  <si>
    <t>https://gsas.es/producto/base-de-datos-de-empresas-de-la-localidad-de-auzotxikia-en-la-provincia-de-guipuzcoa-gipuzkoa/</t>
  </si>
  <si>
    <t>Avila</t>
  </si>
  <si>
    <t>https://gsas.es/producto/base-de-datos-de-empresas-de-la-localidad-de-avila-en-la-provincia-de-avila/</t>
  </si>
  <si>
    <t>Aviles</t>
  </si>
  <si>
    <t>Ayagaures</t>
  </si>
  <si>
    <t>Ayamonte</t>
  </si>
  <si>
    <t>Azarbe (Parroquia)</t>
  </si>
  <si>
    <t>https://gsas.es/producto/base-de-datos-de-empresas-de-la-localidad-de-baladrar-en-la-provincia-de-alicante/</t>
  </si>
  <si>
    <t>Azpeitia</t>
  </si>
  <si>
    <t>Azuaga</t>
  </si>
  <si>
    <t>Azucarera Leopoldo</t>
  </si>
  <si>
    <t>Bacarot</t>
  </si>
  <si>
    <t>https://gsas.es/producto/base-de-datos-de-empresas-de-la-localidad-de-badajoz-en-la-provincia-de-badajoz/</t>
  </si>
  <si>
    <t>Badalona</t>
  </si>
  <si>
    <t>https://gsas.es/producto/base-de-datos-de-empresas-de-la-localidad-de-badalona-en-la-provincia-de-barcelona/</t>
  </si>
  <si>
    <t>Badia Blava</t>
  </si>
  <si>
    <t>Baeza</t>
  </si>
  <si>
    <t>Bagergue</t>
  </si>
  <si>
    <t xml:space="preserve">Bahia Feliz, Urb. </t>
  </si>
  <si>
    <t>https://gsas.es/producto/base-de-datos-de-empresas-de-la-localidad-de-bahia-feliz-en-la-provincia-de-las-palmas/</t>
  </si>
  <si>
    <t>Bailen</t>
  </si>
  <si>
    <t>https://gsas.es/producto/base-de-datos-de-empresas-de-la-localidad-de-banos-de-gilico-en-la-provincia-de-murcia/</t>
  </si>
  <si>
    <t>https://gsas.es/producto/base-de-datos-de-empresas-de-la-localidad-de-banyeres-de-mariola-en-la-provincia-de-alicante/</t>
  </si>
  <si>
    <t>Balaguer</t>
  </si>
  <si>
    <t>https://gsas.es/producto/base-de-datos-de-empresas-de-la-localidad-de-balaguer-en-la-provincia-de-lerida-lleida/</t>
  </si>
  <si>
    <t>Balbona (Siero)</t>
  </si>
  <si>
    <t>Balmaseda</t>
  </si>
  <si>
    <t>Balos</t>
  </si>
  <si>
    <t>https://gsas.es/producto/base-de-datos-de-empresas-de-la-localidad-de-balos-en-la-provincia-de-las-palmas/</t>
  </si>
  <si>
    <t>Balparda</t>
  </si>
  <si>
    <t>https://gsas.es/producto/base-de-datos-de-empresas-de-la-localidad-de-balparda-en-la-provincia-de-vizcaya-bizkaia/</t>
  </si>
  <si>
    <t>Bando (Santa Eulalia)</t>
  </si>
  <si>
    <t>Banyeres De Mariola</t>
  </si>
  <si>
    <t>Banyoles</t>
  </si>
  <si>
    <t>https://gsas.es/producto/base-de-datos-de-empresas-de-la-localidad-de-banyoles-en-la-provincia-de-gerona-girona/</t>
  </si>
  <si>
    <t>https://gsas.es/producto/base-de-datos-de-empresas-de-la-localidad-de-barranco-parra-en-la-provincia-de-alicante/</t>
  </si>
  <si>
    <t>Baños De Cerrato</t>
  </si>
  <si>
    <t>Baños De Gilico</t>
  </si>
  <si>
    <t>Barakaldo</t>
  </si>
  <si>
    <t>https://gsas.es/producto/base-de-datos-de-empresas-de-la-localidad-de-barakaldo-en-la-provincia-de-vizcaya-bizkaia/</t>
  </si>
  <si>
    <t>Barbastro</t>
  </si>
  <si>
    <t>https://gsas.es/producto/base-de-datos-de-empresas-de-la-localidad-de-barbastro-en-la-provincia-de-huesca/</t>
  </si>
  <si>
    <t>Barbate</t>
  </si>
  <si>
    <t>Barbera Del Valles</t>
  </si>
  <si>
    <t>https://gsas.es/producto/base-de-datos-de-empresas-de-la-localidad-de-barbera-del-valles-en-la-provincia-de-barcelona/</t>
  </si>
  <si>
    <t>https://gsas.es/producto/base-de-datos-de-empresas-de-la-localidad-de-barcelona-en-la-provincia-de-barcelona/</t>
  </si>
  <si>
    <t>Barganiza</t>
  </si>
  <si>
    <t>Toledo</t>
  </si>
  <si>
    <t>Bargas</t>
  </si>
  <si>
    <t>Barranco Oscuro</t>
  </si>
  <si>
    <t>Barranco Parra</t>
  </si>
  <si>
    <t>https://gsas.es/producto/base-de-datos-de-empresas-de-la-localidad-de-barriada-cuatro-santos-en-la-provincia-de-murcia/</t>
  </si>
  <si>
    <t>Barreros (Limanes)</t>
  </si>
  <si>
    <t>Barretera</t>
  </si>
  <si>
    <t>https://gsas.es/producto/base-de-datos-de-empresas-de-la-localidad-de-barretera-en-la-provincia-de-murcia/</t>
  </si>
  <si>
    <t>https://gsas.es/producto/base-de-datos-de-empresas-de-la-localidad-de-barriada-santiago-en-la-provincia-de-murcia/</t>
  </si>
  <si>
    <t>Barriada Cuatro Santos</t>
  </si>
  <si>
    <t>https://gsas.es/producto/base-de-datos-de-empresas-de-la-localidad-de-barrio-la-victoria-en-la-provincia-de-murcia/</t>
  </si>
  <si>
    <t>Barriada De Matagorda</t>
  </si>
  <si>
    <t>Barriada Nova</t>
  </si>
  <si>
    <t>https://gsas.es/producto/base-de-datos-de-empresas-de-la-localidad-de-barriada-nova-en-la-provincia-de-barcelona/</t>
  </si>
  <si>
    <t>Barriada Santiago</t>
  </si>
  <si>
    <t>https://gsas.es/producto/base-de-datos-de-empresas-de-la-localidad-de-benejuzar-en-la-provincia-de-alicante/</t>
  </si>
  <si>
    <t>Barrio De Archilla</t>
  </si>
  <si>
    <t>Barrio Del Pino (Teror)</t>
  </si>
  <si>
    <t>Barrio La Victoria</t>
  </si>
  <si>
    <t>Barrio Nuevo</t>
  </si>
  <si>
    <t>Barros</t>
  </si>
  <si>
    <t>Basal</t>
  </si>
  <si>
    <t>Basalgo</t>
  </si>
  <si>
    <t>Base Aeria De Pollença</t>
  </si>
  <si>
    <t>Basozabal (Sondika)</t>
  </si>
  <si>
    <t>Bastian (Aviles)</t>
  </si>
  <si>
    <t>Batet (Ayto Ribes Freser)</t>
  </si>
  <si>
    <t>https://gsas.es/producto/base-de-datos-de-empresas-de-la-localidad-de-benijofar-en-la-provincia-de-alicante/</t>
  </si>
  <si>
    <t>Granada</t>
  </si>
  <si>
    <t>Baza</t>
  </si>
  <si>
    <t>Beas De Segura</t>
  </si>
  <si>
    <t>Becerril De La Sierra</t>
  </si>
  <si>
    <t>https://gsas.es/producto/base-de-datos-de-empresas-de-la-localidad-de-becerril-de-la-sierra-en-la-provincia-de-madrid/</t>
  </si>
  <si>
    <t>Beget</t>
  </si>
  <si>
    <t>Beguda</t>
  </si>
  <si>
    <t>https://gsas.es/producto/base-de-datos-de-empresas-de-la-localidad-de-benimarco-en-la-provincia-de-alicante/</t>
  </si>
  <si>
    <t>Bejar</t>
  </si>
  <si>
    <t>Bellpuig</t>
  </si>
  <si>
    <t>Bembibre</t>
  </si>
  <si>
    <t>Benalmadena</t>
  </si>
  <si>
    <t>Benalmadena Costa</t>
  </si>
  <si>
    <t>Benasque</t>
  </si>
  <si>
    <t>Zamora</t>
  </si>
  <si>
    <t>Benavente</t>
  </si>
  <si>
    <t>https://gsas.es/producto/base-de-datos-de-empresas-de-la-localidad-de-benavente-en-la-provincia-de-zamora/</t>
  </si>
  <si>
    <t>Bencarron</t>
  </si>
  <si>
    <t>https://gsas.es/producto/base-de-datos-de-empresas-de-la-localidad-de-bencarron-en-la-provincia-de-sevilla/</t>
  </si>
  <si>
    <t>Bendinat</t>
  </si>
  <si>
    <t>https://gsas.es/producto/base-de-datos-de-empresas-de-la-localidad-de-bendinat-en-la-provincia-de-islas-baleares-iles-balears/</t>
  </si>
  <si>
    <t>Benejuzar</t>
  </si>
  <si>
    <t>https://gsas.es/producto/base-de-datos-de-empresas-de-la-localidad-de-biar-en-la-provincia-de-alicante/</t>
  </si>
  <si>
    <t>Benestar</t>
  </si>
  <si>
    <t>https://gsas.es/producto/base-de-datos-de-empresas-de-la-localidad-de-benestar-en-la-provincia-de-islas-baleares-iles-balears/</t>
  </si>
  <si>
    <t>Beniajan</t>
  </si>
  <si>
    <t>https://gsas.es/producto/base-de-datos-de-empresas-de-la-localidad-de-bigastro-en-la-provincia-de-alicante/</t>
  </si>
  <si>
    <t>Benicarlo</t>
  </si>
  <si>
    <t>Benicasim</t>
  </si>
  <si>
    <t>Benidorm</t>
  </si>
  <si>
    <t>https://gsas.es/producto/base-de-datos-de-empresas-de-la-localidad-de-benidorm-en-la-provincia-de-alicante-alacant/</t>
  </si>
  <si>
    <t>Beniel</t>
  </si>
  <si>
    <t>https://gsas.es/producto/base-de-datos-de-empresas-de-la-localidad-de-bolerias-en-la-provincia-de-alicante/</t>
  </si>
  <si>
    <t>Benijofar</t>
  </si>
  <si>
    <t>Benimagrell</t>
  </si>
  <si>
    <t>https://gsas.es/producto/base-de-datos-de-empresas-de-la-localidad-de-benimagrell-en-la-provincia-de-alicante-alacant/</t>
  </si>
  <si>
    <t>https://gsas.es/producto/base-de-datos-de-empresas-de-la-localidad-de-bras-del-port-en-la-provincia-de-alicante/</t>
  </si>
  <si>
    <t>Bera - Vera De Bidasoa</t>
  </si>
  <si>
    <t>Berga</t>
  </si>
  <si>
    <t>https://gsas.es/producto/base-de-datos-de-empresas-de-la-localidad-de-berga-en-la-provincia-de-barcelona/</t>
  </si>
  <si>
    <t>Berja</t>
  </si>
  <si>
    <t>Besalu</t>
  </si>
  <si>
    <t>https://gsas.es/producto/base-de-datos-de-empresas-de-la-localidad-de-cabo-de-las-huertas-en-la-provincia-de-alicante/</t>
  </si>
  <si>
    <t>Bescano</t>
  </si>
  <si>
    <t>https://gsas.es/producto/base-de-datos-de-empresas-de-la-localidad-de-campet-en-la-provincia-de-alicante/</t>
  </si>
  <si>
    <t>Betanzos</t>
  </si>
  <si>
    <t>Betxi</t>
  </si>
  <si>
    <t>Biar</t>
  </si>
  <si>
    <t>Bidasoa</t>
  </si>
  <si>
    <t>Bigastro</t>
  </si>
  <si>
    <t>Bilbao</t>
  </si>
  <si>
    <t>https://gsas.es/producto/base-de-datos-de-empresas-de-la-localidad-de-bilbao-en-la-provincia-de-vizcaya-bizkaia/</t>
  </si>
  <si>
    <t>Binefar</t>
  </si>
  <si>
    <t>Biniagual</t>
  </si>
  <si>
    <t>Binifadet</t>
  </si>
  <si>
    <t>Blanca Dona (Eivissa)</t>
  </si>
  <si>
    <t>https://gsas.es/producto/base-de-datos-de-empresas-de-la-localidad-de-blaca-donaeivissa-en-la-provincia-de-islas-baleares-iles-balears/</t>
  </si>
  <si>
    <t>Blanes</t>
  </si>
  <si>
    <t>https://gsas.es/producto/base-de-datos-de-empresas-de-la-localidad-de-blanes-en-la-provincia-de-gerona-girona/</t>
  </si>
  <si>
    <t>Boadilla Del Monte</t>
  </si>
  <si>
    <t>https://gsas.es/producto/base-de-datos-de-empresas-de-la-localidad-de-boadilla-del-monte-en-la-provincia-de-madrid/</t>
  </si>
  <si>
    <t>Bocacangrejo (El Rosario)</t>
  </si>
  <si>
    <t>Boiro</t>
  </si>
  <si>
    <t>Bolaños De Calatrava</t>
  </si>
  <si>
    <t>Bolerias</t>
  </si>
  <si>
    <t>Bollullos De La Mitacion</t>
  </si>
  <si>
    <t>https://gsas.es/producto/base-de-datos-de-empresas-de-la-localidad-de-bollullos-de-la-mitacion-en-la-provincia-de-sevilla/</t>
  </si>
  <si>
    <t>Bollullos Par Del Condado</t>
  </si>
  <si>
    <t>Bonanza</t>
  </si>
  <si>
    <t>Boqueres</t>
  </si>
  <si>
    <t>https://gsas.es/producto/base-de-datos-de-empresas-de-la-localidad-de-boqueres-en-la-provincia-de-alicante-alacant/</t>
  </si>
  <si>
    <t>Borbalan</t>
  </si>
  <si>
    <t>Borgonya</t>
  </si>
  <si>
    <t>https://gsas.es/producto/base-de-datos-de-empresas-de-la-localidad-de-ciudad-quesada-en-la-provincia-de-alicante/</t>
  </si>
  <si>
    <t>Borja</t>
  </si>
  <si>
    <t>Bormujos</t>
  </si>
  <si>
    <t>https://gsas.es/producto/base-de-datos-de-empresas-de-la-localidad-de-bormujos-en-la-provincia-de-sevilla/</t>
  </si>
  <si>
    <t>Bornos</t>
  </si>
  <si>
    <t>Borrambla</t>
  </si>
  <si>
    <t>Borriol</t>
  </si>
  <si>
    <t>Boscdetosca</t>
  </si>
  <si>
    <t>https://gsas.es/producto/base-de-datos-de-empresas-de-la-localidad-de-daya-vieja-en-la-provincia-de-alicante/</t>
  </si>
  <si>
    <t>Bras Del Port</t>
  </si>
  <si>
    <t>https://gsas.es/producto/base-de-datos-de-empresas-de-la-localidad-de-dolores-en-la-provincia-de-alicante/</t>
  </si>
  <si>
    <t>Breda</t>
  </si>
  <si>
    <t>https://gsas.es/producto/base-de-datos-de-empresas-de-la-localidad-de-el-altet-en-la-provincia-de-alicante/</t>
  </si>
  <si>
    <t>Brenes</t>
  </si>
  <si>
    <t>https://gsas.es/producto/base-de-datos-de-empresas-de-la-localidad-de-brenes-en-la-provincia-de-sevilla/</t>
  </si>
  <si>
    <t>Breña Alta</t>
  </si>
  <si>
    <t>Bricia</t>
  </si>
  <si>
    <t>Brisketa</t>
  </si>
  <si>
    <t>https://gsas.es/producto/base-de-datos-de-empresas-de-la-localidad-de-brisketa-en-la-provincia-de-vizcaya-bizkaia-copia/</t>
  </si>
  <si>
    <t>Briviesca</t>
  </si>
  <si>
    <t>Brunete</t>
  </si>
  <si>
    <t>https://gsas.es/producto/base-de-datos-de-empresas-de-la-localidad-de-brunete-en-la-provincia-de-madrid/</t>
  </si>
  <si>
    <t>Bujalance</t>
  </si>
  <si>
    <t>Bullas</t>
  </si>
  <si>
    <t>Lugo</t>
  </si>
  <si>
    <t>Burela</t>
  </si>
  <si>
    <t>https://gsas.es/producto/base-de-datos-de-empresas-de-la-localidad-de-burgos-en-la-provincia-de-burgos/</t>
  </si>
  <si>
    <t>Burlada - Burlata</t>
  </si>
  <si>
    <t>https://gsas.es/producto/base-de-datos-de-empresas-de-la-localidad-de-burlada-burlata-en-la-provincia-de-navarra/</t>
  </si>
  <si>
    <t>Caballera, De La Santa Maria De Trassierra</t>
  </si>
  <si>
    <t>Cabanillas Del Campo</t>
  </si>
  <si>
    <t>Cabezo De Torres</t>
  </si>
  <si>
    <t>https://gsas.es/producto/base-de-datos-de-empresas-de-la-localidad-de-cabezo-de-torres-en-la-provincia-de-murcia/</t>
  </si>
  <si>
    <t>Cabezon De La Sal</t>
  </si>
  <si>
    <t>Cabo De Las Huertas</t>
  </si>
  <si>
    <t>https://gsas.es/producto/base-de-datos-de-empresas-de-la-localidad-de-el-verger-en-la-provincia-de-alicante/</t>
  </si>
  <si>
    <t>Cabo De Palos</t>
  </si>
  <si>
    <t>Cabreiroa</t>
  </si>
  <si>
    <t>Cabrera De Mar</t>
  </si>
  <si>
    <t>https://gsas.es/producto/base-de-datos-de-empresas-de-la-localidad-de-cabrera-de-mar-en-la-provincia-de-barcelona/</t>
  </si>
  <si>
    <t>Cabrillas</t>
  </si>
  <si>
    <t>Cacabelos</t>
  </si>
  <si>
    <t>https://gsas.es/producto/base-de-datos-de-empresas-de-la-localidad-de-caceres-en-la-provincia-de-caceres/</t>
  </si>
  <si>
    <t>Cacicedo</t>
  </si>
  <si>
    <t>Cadaques</t>
  </si>
  <si>
    <t>Cadegal</t>
  </si>
  <si>
    <t>https://gsas.es/producto/base-de-datos-de-empresas-de-la-localidad-de-cadiz-en-la-provincia-de-cadiz/</t>
  </si>
  <si>
    <t>Cadrete</t>
  </si>
  <si>
    <t>Cagitan</t>
  </si>
  <si>
    <t>https://gsas.es/producto/base-de-datos-de-empresas-de-la-localidad-de-figueretes-en-la-provincia-de-alicante/</t>
  </si>
  <si>
    <t>Cal Cego</t>
  </si>
  <si>
    <t>Cala Agulla</t>
  </si>
  <si>
    <t>Cala D Or</t>
  </si>
  <si>
    <t>Cala Fornells</t>
  </si>
  <si>
    <t>Cala Galdana</t>
  </si>
  <si>
    <t>Cala Gracio</t>
  </si>
  <si>
    <t>https://gsas.es/producto/base-de-datos-de-empresas-de-la-localidad-de-cala-gracio-en-la-provincia-de-islas-baleares-iles-balears/</t>
  </si>
  <si>
    <t>Cala Marsal</t>
  </si>
  <si>
    <t>Cala Pi</t>
  </si>
  <si>
    <t>Cala San Esteban</t>
  </si>
  <si>
    <t>Calabazanos</t>
  </si>
  <si>
    <t>Calafell</t>
  </si>
  <si>
    <t>https://gsas.es/producto/base-de-datos-de-empresas-de-la-localidad-de-calafell-en-la-provincia-de-tarragona/</t>
  </si>
  <si>
    <t>Calahorra</t>
  </si>
  <si>
    <t>https://gsas.es/producto/base-de-datos-de-empresas-de-la-localidad-de-calahorra-en-la-provincia-de-la-rioja/</t>
  </si>
  <si>
    <t>Calamocha</t>
  </si>
  <si>
    <t>Calamonte</t>
  </si>
  <si>
    <t>Calatayud</t>
  </si>
  <si>
    <t>https://gsas.es/producto/base-de-datos-de-empresas-de-la-localidad-de-calatayud-de-la-provincia-de-zaragoza/</t>
  </si>
  <si>
    <t>Caldereta (San Bartolome De Lanzarote)</t>
  </si>
  <si>
    <t>Caldes De Malavella</t>
  </si>
  <si>
    <t>https://gsas.es/producto/base-de-datos-de-empresas-de-la-localidad-de-formentera-del-segura-en-la-provincia-de-alicante/</t>
  </si>
  <si>
    <t>Caldes De Montbui</t>
  </si>
  <si>
    <t>https://gsas.es/producto/base-de-datos-de-empresas-de-la-localidad-de-caldes-de-montbui-en-la-provincia-de-barcelona/</t>
  </si>
  <si>
    <t>Calella</t>
  </si>
  <si>
    <t>https://gsas.es/producto/base-de-datos-de-empresas-de-la-localidad-de-calella-en-la-provincia-de-barcelona/</t>
  </si>
  <si>
    <t>Calonge</t>
  </si>
  <si>
    <t>Calvos (San Cibrao Das Viñas)</t>
  </si>
  <si>
    <t>Camarles</t>
  </si>
  <si>
    <t>Camarma De Esteruelas</t>
  </si>
  <si>
    <t>https://gsas.es/producto/base-de-datos-de-empresas-de-la-localidad-de-camarma-de-esteruelas-en-la-provincia-de-madrid/</t>
  </si>
  <si>
    <t>Camas</t>
  </si>
  <si>
    <t>https://gsas.es/producto/base-de-datos-de-empresas-de-la-localidad-de-camas-en-la-provincia-de-sevilla/</t>
  </si>
  <si>
    <t>Cambados (Santa Mariña)</t>
  </si>
  <si>
    <t>Cambrils</t>
  </si>
  <si>
    <t>https://gsas.es/producto/base-de-datos-de-empresas-de-la-localidad-de-cambrils-en-la-provincia-de-tarragona/</t>
  </si>
  <si>
    <t>Camino De Espera</t>
  </si>
  <si>
    <t>Camiño De Penamoa</t>
  </si>
  <si>
    <t>https://gsas.es/producto/base-de-datos-de-empresas-de-la-localidad-del-camino-de-penamoa-en-la-provincia-de-a-coruna-la-coruna/</t>
  </si>
  <si>
    <t>Camp De La Mar</t>
  </si>
  <si>
    <t>Campamento</t>
  </si>
  <si>
    <t>Campanillas</t>
  </si>
  <si>
    <t>Campano</t>
  </si>
  <si>
    <t>Campet</t>
  </si>
  <si>
    <t>Campiello (La Manjoya)</t>
  </si>
  <si>
    <t>Campillos</t>
  </si>
  <si>
    <t>Camping Marinada</t>
  </si>
  <si>
    <t>Campiña</t>
  </si>
  <si>
    <t>Campo Das Cortes</t>
  </si>
  <si>
    <t>Campo De Criptana</t>
  </si>
  <si>
    <t>Campo Real</t>
  </si>
  <si>
    <t>https://gsas.es/producto/base-de-datos-de-empresas-de-la-localidad-de-campo-real-en-la-provincia-de-madrid/</t>
  </si>
  <si>
    <t>Campohermoso</t>
  </si>
  <si>
    <t>Camponaraya</t>
  </si>
  <si>
    <t>Campos</t>
  </si>
  <si>
    <t>Can Benet De La Prua</t>
  </si>
  <si>
    <t>https://gsas.es/producto/base-de-datos-de-empresas-de-la-localidad-de-can-benet-de-la-prua-en-la-provincia-de-barcelona/</t>
  </si>
  <si>
    <t>Can Fosalba (Hostalets De Pierola)</t>
  </si>
  <si>
    <t>https://gsas.es/producto/base-de-datos-de-empresas-de-la-localidad-de-can-fosalba-hostalets-pierola-en-la-provincia-de-barcelona/</t>
  </si>
  <si>
    <t>Can Pastilla</t>
  </si>
  <si>
    <t>Can Roig (Cervello)</t>
  </si>
  <si>
    <t>https://gsas.es/producto/base-de-datos-de-empresas-de-la-localidad-de-can-roig-en-la-provincia-de-barcelona/</t>
  </si>
  <si>
    <t>Candas</t>
  </si>
  <si>
    <t>Candeleda</t>
  </si>
  <si>
    <t>Canedo (Ponteareas)</t>
  </si>
  <si>
    <t>Canet De Mar</t>
  </si>
  <si>
    <t>https://gsas.es/producto/base-de-datos-de-empresas-de-la-localidad-de-canet-de-mar-en-la-provincia-de-barcelona/</t>
  </si>
  <si>
    <t>Cangas De Narcea</t>
  </si>
  <si>
    <t>Cangas De Onis</t>
  </si>
  <si>
    <t>Cangas Do Morrazo</t>
  </si>
  <si>
    <t>https://gsas.es/producto/base-de-datos-de-empresas-de-la-localidad-de-cangas-do-morrazo-en-la-provincia-de-pontevedra/</t>
  </si>
  <si>
    <t>Segovia</t>
  </si>
  <si>
    <t>Cantalejo</t>
  </si>
  <si>
    <t>Cantillana</t>
  </si>
  <si>
    <t>https://gsas.es/producto/base-de-datos-de-empresas-de-la-localidad-de-cantillana-en-la-provincia-de-sevilla/</t>
  </si>
  <si>
    <t>Canyelles (Ayto Lloret Mar)</t>
  </si>
  <si>
    <t>https://gsas.es/producto/base-de-datos-de-empresas-de-la-localidad-de-canyelles-ayt-lloret-mar-en-la-provincia-de-gerona-girona/</t>
  </si>
  <si>
    <t>Canyelles (Ayto Tossa)</t>
  </si>
  <si>
    <t>Canyelles Almadraba (Ajuntament Roses)</t>
  </si>
  <si>
    <t>https://gsas.es/producto/base-de-datos-de-empresas-de-la-localidad-de-canyelles-lalmadrava-en-la-provincia-de-gerona-girona/</t>
  </si>
  <si>
    <t>https://gsas.es/producto/base-de-datos-de-empresas-de-la-localidad-de-la-almazara-caserio-en-la-provincia-de-alicante/</t>
  </si>
  <si>
    <t>Canyet De Mar</t>
  </si>
  <si>
    <t>https://gsas.es/producto/base-de-datos-de-empresas-de-la-localidad-de-l-albir-en-la-provincia-de-alicante/</t>
  </si>
  <si>
    <t>Cañada De La Jara</t>
  </si>
  <si>
    <t>Cañada Del Moro</t>
  </si>
  <si>
    <t>Cap De Barbaria</t>
  </si>
  <si>
    <t>Capdepera</t>
  </si>
  <si>
    <t>Caravaca De La Cruz</t>
  </si>
  <si>
    <t>https://gsas.es/producto/base-de-datos-de-empresas-de-la-localidad-de-caravaca-de-la-cruz-en-la-provincia-de-murcia/</t>
  </si>
  <si>
    <t>https://gsas.es/producto/base-de-datos-de-empresas-de-la-localidad-de-l-alfas-del-pi-en-la-provincia-de-alicante/</t>
  </si>
  <si>
    <t>Carbajosa De La Sagrada</t>
  </si>
  <si>
    <t>Carballo</t>
  </si>
  <si>
    <t>https://gsas.es/producto/base-de-datos-de-empresas-de-la-localidad-del-carballo-en-la-provincia-de-a-coruna-la-coruna/</t>
  </si>
  <si>
    <t>Carchena</t>
  </si>
  <si>
    <t>https://gsas.es/producto/base-de-datos-de-empresas-de-la-localidad-de-carchena-en-la-provincia-de-sevilla/</t>
  </si>
  <si>
    <t>Cardedeu</t>
  </si>
  <si>
    <t>https://gsas.es/producto/base-de-datos-de-empresas-de-la-localidad-de-cardedeu-en-la-provincia-de-barcelona/</t>
  </si>
  <si>
    <t>Cariñena</t>
  </si>
  <si>
    <t>Carmona</t>
  </si>
  <si>
    <t>https://gsas.es/producto/base-de-datos-de-empresas-de-la-localidad-de-carmona-en-la-provincia-de-sevilla/</t>
  </si>
  <si>
    <t>Carrion De Los Condes</t>
  </si>
  <si>
    <t>Cartagena</t>
  </si>
  <si>
    <t>https://gsas.es/producto/base-de-datos-de-empresas-de-la-localidad-de-cartagena-en-la-provincia-de-murcia/</t>
  </si>
  <si>
    <t>Cartama</t>
  </si>
  <si>
    <t>Cartaya</t>
  </si>
  <si>
    <t>Cartuja Baja</t>
  </si>
  <si>
    <t>Casa De Violante</t>
  </si>
  <si>
    <t>Casanova De Eiris</t>
  </si>
  <si>
    <t>https://gsas.es/producto/base-de-datos-de-empresas-de-la-localidad-del-casanova-de-eiris-en-la-provincia-de-a-coruna-la-coruna/</t>
  </si>
  <si>
    <t>Casarrubios Del Monte</t>
  </si>
  <si>
    <t>Casas Nuevas</t>
  </si>
  <si>
    <t>Casetas</t>
  </si>
  <si>
    <t>Caspe</t>
  </si>
  <si>
    <t>Cassa De La Selva</t>
  </si>
  <si>
    <t>https://gsas.es/producto/base-de-datos-de-empresas-de-la-localidad-de-las-casicas-casicas-en-la-provincia-de-alicante/</t>
  </si>
  <si>
    <t>Castalla</t>
  </si>
  <si>
    <t>https://gsas.es/producto/base-de-datos-de-empresas-de-la-localidad-de-lo-blanque-en-la-provincia-de-alicante/</t>
  </si>
  <si>
    <t>Castellbisbal</t>
  </si>
  <si>
    <t>https://gsas.es/producto/base-de-datos-de-empresas-de-la-localidad-de-castellbisbal-en-la-provincia-de-barcelona/</t>
  </si>
  <si>
    <t>Castellnou De Bages</t>
  </si>
  <si>
    <t>https://gsas.es/producto/base-de-datos-de-empresas-de-la-localidad-de-castellnou-de-bages-en-la-provincia-de-barcelona/</t>
  </si>
  <si>
    <t>Castello D Empuries</t>
  </si>
  <si>
    <t>https://gsas.es/producto/base-de-datos-de-empresas-de-la-localidad-de-castellon-de-la-plana-en-la-provincia-de-castellon/</t>
  </si>
  <si>
    <t>Castellvell</t>
  </si>
  <si>
    <t>Castelo (Osedo)</t>
  </si>
  <si>
    <t>Castilleja De La Cuesta</t>
  </si>
  <si>
    <t>https://gsas.es/producto/base-de-datos-de-empresas-de-la-localidad-de-castilleja-de-la-cuesta-en-la-provincia-de-sevilla/</t>
  </si>
  <si>
    <t>Castillo Del Aguila</t>
  </si>
  <si>
    <t>https://gsas.es/producto/base-de-datos-de-empresas-de-la-localidad-de-castillo-del-aguila-en-la-provincia-de-las-palmas/</t>
  </si>
  <si>
    <t>Castro Del Rio</t>
  </si>
  <si>
    <t>Castro Urdiales</t>
  </si>
  <si>
    <t>Castuera</t>
  </si>
  <si>
    <t>Caudete</t>
  </si>
  <si>
    <t>Cazalla De La Sierra</t>
  </si>
  <si>
    <t>https://gsas.es/producto/base-de-datos-de-empresas-de-la-localidad-de-cazalla-de-la-sierra-en-la-provincia-de-sevilla/</t>
  </si>
  <si>
    <t>Ceboliño</t>
  </si>
  <si>
    <t>https://gsas.es/producto/base-de-datos-de-empresas-de-la-localidad-de-cebolino-de-la-provincia-de-ourense-orense/</t>
  </si>
  <si>
    <t>Cedeira</t>
  </si>
  <si>
    <t>Cee</t>
  </si>
  <si>
    <t>Cehegin</t>
  </si>
  <si>
    <t>Celanova</t>
  </si>
  <si>
    <t>Celra</t>
  </si>
  <si>
    <t>Cenes De La Vega</t>
  </si>
  <si>
    <t>Centelles</t>
  </si>
  <si>
    <t>https://gsas.es/producto/base-de-datos-de-empresas-de-la-localidad-de-centelles-en-la-provincia-de-barcelona/</t>
  </si>
  <si>
    <t>Centro Militar Hoya Fria</t>
  </si>
  <si>
    <t>Cercedilla</t>
  </si>
  <si>
    <t>https://gsas.es/producto/base-de-datos-de-empresas-de-la-localidad-de-cercedilla-en-la-provincia-de-madrid/</t>
  </si>
  <si>
    <t>Cerdanyola Del Valles</t>
  </si>
  <si>
    <t>https://gsas.es/producto/base-de-datos-de-empresas-de-la-localidad-de-cerdanyola-del-valles-en-la-provincia-de-barcelona/</t>
  </si>
  <si>
    <t>Cervello</t>
  </si>
  <si>
    <t>Cervera</t>
  </si>
  <si>
    <t>Ceuti</t>
  </si>
  <si>
    <t>https://gsas.es/producto/base-de-datos-de-empresas-de-la-localidad-de-los-benitos-en-la-provincia-de-alicante/</t>
  </si>
  <si>
    <t>Charco Del Novillo</t>
  </si>
  <si>
    <t>Chauchina</t>
  </si>
  <si>
    <t>Chinchilla De Monte Aragon</t>
  </si>
  <si>
    <t>Chinchon</t>
  </si>
  <si>
    <t>https://gsas.es/producto/base-de-datos-de-empresas-de-la-localidad-de-chinchon-en-la-provincia-de-madrid/</t>
  </si>
  <si>
    <t>Chipiona</t>
  </si>
  <si>
    <t>Cho</t>
  </si>
  <si>
    <t>Churriana</t>
  </si>
  <si>
    <t>Churriana De La Vega</t>
  </si>
  <si>
    <t>Ciaño</t>
  </si>
  <si>
    <t>Ciempozuelos</t>
  </si>
  <si>
    <t>https://gsas.es/producto/base-de-datos-de-empresas-de-la-localidad-de-ciempozuelos-en-la-provincia-de-madrid/</t>
  </si>
  <si>
    <t>Cinclaus</t>
  </si>
  <si>
    <t>https://gsas.es/producto/base-de-datos-de-empresas-de-la-localidad-de-cinc-claus-en-la-provincia-de-gerona-girona/</t>
  </si>
  <si>
    <t>Cintruenigo</t>
  </si>
  <si>
    <t>Ciudad Quesada</t>
  </si>
  <si>
    <t>https://gsas.es/producto/base-de-datos-de-empresas-de-la-localidad-de-los-collereros-en-la-provincia-de-alicante/</t>
  </si>
  <si>
    <t>https://gsas.es/producto/base-de-datos-de-empresas-de-la-localidad-de-ciudad-real-en-la-provincia-de-ciudad-real/</t>
  </si>
  <si>
    <t>Ciutadella De Menorca</t>
  </si>
  <si>
    <t>https://gsas.es/producto/base-de-datos-de-empresas-de-la-localidad-de-ciudadela-de-menorca-en-la-provincia-de-islas-baleares-iles-balears/</t>
  </si>
  <si>
    <t>Cobaron</t>
  </si>
  <si>
    <t>Cobeña</t>
  </si>
  <si>
    <t>https://gsas.es/producto/base-de-datos-de-empresas-de-la-localidad-de-cobena-en-la-provincia-de-madrid/</t>
  </si>
  <si>
    <t>Coin</t>
  </si>
  <si>
    <t>Colindres</t>
  </si>
  <si>
    <t>Collado Mediano</t>
  </si>
  <si>
    <t>https://gsas.es/producto/base-de-datos-de-empresas-de-la-localidad-de-collado-mediano-en-la-provincia-de-madrid/</t>
  </si>
  <si>
    <t>Collado Villalba</t>
  </si>
  <si>
    <t>https://gsas.es/producto/base-de-datos-de-empresas-de-la-localidad-de-collado-villalba-en-la-provincia-de-madrid/</t>
  </si>
  <si>
    <t>Collsabadell</t>
  </si>
  <si>
    <t>https://gsas.es/producto/base-de-datos-de-empresas-de-la-localidad-de-collsabadell-en-la-provincia-de-barcelona/</t>
  </si>
  <si>
    <t>Colmenar De Oreja</t>
  </si>
  <si>
    <t>https://gsas.es/producto/base-de-datos-de-empresas-de-la-localidad-de-colmenar-de-oreja-en-la-provincia-de-madrid/</t>
  </si>
  <si>
    <t>Colmenar Viejo</t>
  </si>
  <si>
    <t>https://gsas.es/producto/base-de-datos-de-empresas-de-la-localidad-de-colmenar-viejo-en-la-provincia-de-madrid/</t>
  </si>
  <si>
    <t>Colmenarejo</t>
  </si>
  <si>
    <t>https://gsas.es/producto/base-de-datos-de-empresas-de-la-localidad-de-colmenarejo-en-la-provincia-de-madrid/</t>
  </si>
  <si>
    <t>Colonia De Sant Jordi</t>
  </si>
  <si>
    <t>Colonia Rocafiguera</t>
  </si>
  <si>
    <t>Comendador</t>
  </si>
  <si>
    <t>Comillas</t>
  </si>
  <si>
    <t>Conil</t>
  </si>
  <si>
    <t>Conil De La Frontera</t>
  </si>
  <si>
    <t>Constantina</t>
  </si>
  <si>
    <t>https://gsas.es/producto/base-de-datos-de-empresas-de-la-localidad-de-constantina-en-la-provincia-de-sevilla/</t>
  </si>
  <si>
    <t>Consuegra</t>
  </si>
  <si>
    <t>https://gsas.es/producto/base-de-datos-de-empresas-de-la-localidad-de-cordoba-en-la-provincia-de-cordoba/</t>
  </si>
  <si>
    <t>Cordobilla</t>
  </si>
  <si>
    <t>Corella</t>
  </si>
  <si>
    <t>Coria</t>
  </si>
  <si>
    <t>Cornella De Llobregat</t>
  </si>
  <si>
    <t>https://gsas.es/producto/base-de-datos-de-empresas-de-la-localidad-de-cornella-de-llobregat-en-la-provincia-de-barcelona/</t>
  </si>
  <si>
    <t>Corral De Almaguer</t>
  </si>
  <si>
    <t>Corralejo</t>
  </si>
  <si>
    <t>https://gsas.es/producto/base-de-datos-de-empresas-de-la-localidad-de-corralejo-en-la-provincia-de-las-palmas/</t>
  </si>
  <si>
    <t>Corredoria (Oviedo)</t>
  </si>
  <si>
    <t>Corro D Amunt</t>
  </si>
  <si>
    <t>https://gsas.es/producto/base-de-datos-de-empresas-de-la-localidad-de-corro-damunt-en-la-provincia-de-barcelona/</t>
  </si>
  <si>
    <t>Cortegana</t>
  </si>
  <si>
    <t>Coslada</t>
  </si>
  <si>
    <t>https://gsas.es/producto/base-de-datos-de-empresas-de-la-localidad-de-coslada-en-la-provincia-de-madrid/</t>
  </si>
  <si>
    <t>Costa De La Calma</t>
  </si>
  <si>
    <t>Costa Del Silencio</t>
  </si>
  <si>
    <t>Covas (San Xoan) (Viveiro)</t>
  </si>
  <si>
    <t>Covas Novas (Mercadal)</t>
  </si>
  <si>
    <t>Crevillent</t>
  </si>
  <si>
    <t>https://gsas.es/producto/base-de-datos-de-empresas-de-la-localidad-de-crevillent-en-la-provincia-de-alicante-alacant/</t>
  </si>
  <si>
    <t>https://gsas.es/producto/base-de-datos-de-empresas-de-la-localidad-de-monforte-del-cid-en-la-provincia-de-alicante/</t>
  </si>
  <si>
    <t>Cruz De Guanche</t>
  </si>
  <si>
    <t>Cruz De La Gallina</t>
  </si>
  <si>
    <t>Cuarte De Huerva</t>
  </si>
  <si>
    <t>https://gsas.es/producto/base-de-datos-de-empresas-de-la-localidad-de-cuarte-de-huerva-de-la-provincia-de-zaragoza/</t>
  </si>
  <si>
    <t>Cubelles</t>
  </si>
  <si>
    <t>https://gsas.es/producto/base-de-datos-de-empresas-de-la-localidad-de-cubelles-en-la-provincia-de-barcelona/</t>
  </si>
  <si>
    <t>Cuellar</t>
  </si>
  <si>
    <t>Cuenca</t>
  </si>
  <si>
    <t>https://gsas.es/producto/base-de-datos-de-empresas-de-la-localidad-de-cuenca-en-la-provincia-de-cuenca/</t>
  </si>
  <si>
    <t>Cuesta De La Villa</t>
  </si>
  <si>
    <t>Cullar Vega</t>
  </si>
  <si>
    <t>Curtis</t>
  </si>
  <si>
    <t>Daganzo De Arriba</t>
  </si>
  <si>
    <t>https://gsas.es/producto/base-de-datos-de-empresas-de-la-localidad-de-daganzo-de-arriba-en-la-provincia-de-madrid/</t>
  </si>
  <si>
    <t>Daimiel</t>
  </si>
  <si>
    <t>Daya Vieja</t>
  </si>
  <si>
    <t>https://gsas.es/producto/base-de-datos-de-empresas-de-la-localidad-de-montepego-en-la-provincia-de-alicante/</t>
  </si>
  <si>
    <t>De La Caballera (Santa Maria De Trassierra)</t>
  </si>
  <si>
    <t>Deltebre</t>
  </si>
  <si>
    <t>Dolores</t>
  </si>
  <si>
    <t>Don Benito</t>
  </si>
  <si>
    <t>https://gsas.es/producto/base-de-datos-de-empresas-de-la-localidad-de-don-benito-en-la-provincia-de-badajoz/</t>
  </si>
  <si>
    <t>Doneztebe</t>
  </si>
  <si>
    <t>Dos Hermanas</t>
  </si>
  <si>
    <t>https://gsas.es/producto/base-de-datos-de-empresas-de-la-localidad-de-dos-hermanas-en-la-provincia-de-sevilla/</t>
  </si>
  <si>
    <t>Durango</t>
  </si>
  <si>
    <t>https://gsas.es/producto/base-de-datos-de-empresas-de-la-localidad-de-durango-en-la-provincia-de-vizcaya-bizkaia/</t>
  </si>
  <si>
    <t>Durañona</t>
  </si>
  <si>
    <t>Durcal</t>
  </si>
  <si>
    <t>Ecija</t>
  </si>
  <si>
    <t>https://gsas.es/producto/base-de-datos-de-empresas-de-la-localidad-de-ecija-en-la-provincia-de-sevilla/</t>
  </si>
  <si>
    <t>Eitzaga</t>
  </si>
  <si>
    <t>Ejea De Los Caballeros</t>
  </si>
  <si>
    <t>https://gsas.es/producto/base-de-datos-de-empresas-de-la-localidad-de-ejea-de-los-caballeros-de-la-provincia-de-zaragoza/</t>
  </si>
  <si>
    <t>El Acebuchal (Alcala De Guadaira)</t>
  </si>
  <si>
    <t>https://gsas.es/producto/base-de-datos-de-empresas-de-la-localidad-de-el-acebuchal-en-la-provincia-de-sevilla/</t>
  </si>
  <si>
    <t>El Acebuchal (Lora Del Rio)</t>
  </si>
  <si>
    <t>https://gsas.es/producto/base-de-datos-de-empresas-de-la-localidad-de-el-acebuchal-en-la-provincia-de-sevilla-2/</t>
  </si>
  <si>
    <t>El Aeroport Del Prat</t>
  </si>
  <si>
    <t>https://gsas.es/producto/base-de-datos-de-empresas-de-la-localidad-de-el-aeroport-del-prat-en-la-provincia-de-barcelona/</t>
  </si>
  <si>
    <t>El Agua Del Medio</t>
  </si>
  <si>
    <t>El Aguila</t>
  </si>
  <si>
    <t>El Alamillo</t>
  </si>
  <si>
    <t>El Alamo (Navalcarnero)</t>
  </si>
  <si>
    <t>https://gsas.es/producto/base-de-datos-de-empresas-de-la-localidad-de-el-alamo-en-la-provincia-de-madrid/</t>
  </si>
  <si>
    <t>El Algar</t>
  </si>
  <si>
    <t>https://gsas.es/producto/base-de-datos-de-empresas-de-la-localidad-de-muro-de-alcoy-en-la-provincia-de-alicante/</t>
  </si>
  <si>
    <t>El Almarchal</t>
  </si>
  <si>
    <t>El Almiceran</t>
  </si>
  <si>
    <t>El Alquian</t>
  </si>
  <si>
    <t>El Altet</t>
  </si>
  <si>
    <t>El Angostillo</t>
  </si>
  <si>
    <t>El Arroyo Franco Y Estella</t>
  </si>
  <si>
    <t>El Badorc</t>
  </si>
  <si>
    <t>https://gsas.es/producto/base-de-datos-de-empresas-de-la-localidad-de-el-badorc-en-la-provincia-de-barcelona/</t>
  </si>
  <si>
    <t>El Barco De Avila</t>
  </si>
  <si>
    <t>El Barranquete</t>
  </si>
  <si>
    <t>El Bercial</t>
  </si>
  <si>
    <t>El Bobar</t>
  </si>
  <si>
    <t>El Bosque</t>
  </si>
  <si>
    <t>El Burgo De Osma</t>
  </si>
  <si>
    <t>El Burrero</t>
  </si>
  <si>
    <t>El Calero</t>
  </si>
  <si>
    <t>El Callejo</t>
  </si>
  <si>
    <t>El Cantiillo (Tacoronte)</t>
  </si>
  <si>
    <t>El Canto</t>
  </si>
  <si>
    <t>El Cañal</t>
  </si>
  <si>
    <t>El Carbayo (Lugones)</t>
  </si>
  <si>
    <t>El Carmen</t>
  </si>
  <si>
    <t>El Carrion</t>
  </si>
  <si>
    <t>El Casar</t>
  </si>
  <si>
    <t>El Chaparral (Puerto Rico)</t>
  </si>
  <si>
    <t>El Cotillo</t>
  </si>
  <si>
    <t>El Cuervo</t>
  </si>
  <si>
    <t>https://gsas.es/producto/base-de-datos-de-empresas-de-la-localidad-de-el-cuervo-en-la-provincia-de-sevilla/</t>
  </si>
  <si>
    <t>El Ejido</t>
  </si>
  <si>
    <t>https://gsas.es/producto/base-de-datos-de-empresas-de-la-localidad-de-el-ejido-en-la-provincia-de-almeria/</t>
  </si>
  <si>
    <t>El Entrego</t>
  </si>
  <si>
    <t>El Escorial</t>
  </si>
  <si>
    <t>https://gsas.es/producto/base-de-datos-de-empresas-de-la-localidad-de-el-escorial-en-la-provincia-de-madrid/</t>
  </si>
  <si>
    <t>El Far D Emporda</t>
  </si>
  <si>
    <t>https://gsas.es/producto/base-de-datos-de-empresas-de-la-localidad-de-ondara-en-la-provincia-de-alicante/</t>
  </si>
  <si>
    <t>El Hondon (Media Legua)</t>
  </si>
  <si>
    <t>https://gsas.es/producto/base-de-datos-de-empresas-de-la-localidad-de-onil-en-la-provincia-de-alicante/</t>
  </si>
  <si>
    <t>El Mas D En Serra</t>
  </si>
  <si>
    <t>https://gsas.es/producto/base-de-datos-de-empresas-de-la-localidad-de-el-mas-d-en-serra-en-la-provincia-de-barcelona/</t>
  </si>
  <si>
    <t>El Masnou</t>
  </si>
  <si>
    <t>https://gsas.es/producto/base-de-datos-de-empresas-de-la-localidad-de-el-masnou-en-la-provincia-de-barcelona-copia/</t>
  </si>
  <si>
    <t>El Medano</t>
  </si>
  <si>
    <t>El Molar</t>
  </si>
  <si>
    <t>https://gsas.es/producto/base-de-datos-de-empresas-de-la-localidad-de-el-molar-en-la-provincia-de-madrid/</t>
  </si>
  <si>
    <t>El Moli D En Rovira</t>
  </si>
  <si>
    <t>https://gsas.es/producto/base-de-datos-de-empresas-de-la-localidad-de-el-moli-den-rovira-en-la-provincia-de-barcelona/</t>
  </si>
  <si>
    <t>El Morro (Santa Cruz De La Palma)</t>
  </si>
  <si>
    <t>El Paso</t>
  </si>
  <si>
    <t>El Perello</t>
  </si>
  <si>
    <t>El Pont De Cabrianes</t>
  </si>
  <si>
    <t>https://gsas.es/producto/base-de-datos-de-empresas-de-la-localidad-de-el-pont-de-cabrianes-en-la-provincia-de-barcelona/</t>
  </si>
  <si>
    <t>El Pont De Suert</t>
  </si>
  <si>
    <t>El Port De La Selva</t>
  </si>
  <si>
    <t>El Portal</t>
  </si>
  <si>
    <t>El Portil</t>
  </si>
  <si>
    <t>El Puerto De Santa Maria</t>
  </si>
  <si>
    <t>El Regato</t>
  </si>
  <si>
    <t>https://gsas.es/producto/base-de-datos-de-empresas-de-la-localidad-de-el-regato-en-la-provincia-de-vizcaya-bizkaia/</t>
  </si>
  <si>
    <t>El Vendrell</t>
  </si>
  <si>
    <t>https://gsas.es/producto/base-de-datos-de-empresas-de-la-localidad-de-el-vendrell-en-la-provincia-de-tarragona/</t>
  </si>
  <si>
    <t>El Verger</t>
  </si>
  <si>
    <t>https://gsas.es/producto/base-de-datos-de-empresas-de-la-localidad-de-parque-industrial-de-torrellano-en-la-provincia-de-alicante/</t>
  </si>
  <si>
    <t>El Viso Del Alcor</t>
  </si>
  <si>
    <t>https://gsas.es/producto/base-de-datos-de-empresas-de-la-localidad-de-el-viso-del-alcor-en-la-provincia-de-sevilla/</t>
  </si>
  <si>
    <t>https://gsas.es/producto/base-de-datos-de-empresas-de-la-localidad-de-elche-elx-en-la-provincia-de-alicante-alacant/</t>
  </si>
  <si>
    <t>https://gsas.es/producto/base-de-datos-de-empresas-de-la-localidad-de-partida-aixihuili-en-la-provincia-de-alicante/</t>
  </si>
  <si>
    <t>Elda</t>
  </si>
  <si>
    <t>https://gsas.es/producto/base-de-datos-de-empresas-de-la-localidad-de-elda-en-la-provincia-de-alicante-alacant/</t>
  </si>
  <si>
    <t>https://gsas.es/producto/base-de-datos-de-empresas-de-la-localidad-de-partida-los-chapaprietas-en-la-provincia-de-alicante/</t>
  </si>
  <si>
    <t>El Realon</t>
  </si>
  <si>
    <t>https://gsas.es/producto/base-de-datos-de-empresas-de-la-localidad-de-el-realon-en-la-provincia-de-valencia/</t>
  </si>
  <si>
    <t>Els Masos</t>
  </si>
  <si>
    <t>Empuriabrava</t>
  </si>
  <si>
    <t>https://gsas.es/producto/base-de-datos-de-empresas-de-la-localidad-de-pilar-de-la-horadada-en-la-provincia-de-alicante/</t>
  </si>
  <si>
    <t>Errenteria</t>
  </si>
  <si>
    <t>https://gsas.es/producto/base-de-datos-de-empresas-de-la-localidad-de-errenteria-en-la-provincia-de-guipuzcoa-guipuzkoa/</t>
  </si>
  <si>
    <t>Espartinas</t>
  </si>
  <si>
    <t>https://gsas.es/producto/base-de-datos-de-empresas-de-la-localidad-de-espartinas-en-la-provincia-de-sevilla/</t>
  </si>
  <si>
    <t>Esplugues De Llobregat</t>
  </si>
  <si>
    <t>https://gsas.es/producto/base-de-datos-de-empresas-de-la-localidad-de-esplugues-de-llobregat-en-la-provincia-de-barcelona/</t>
  </si>
  <si>
    <t>Estella - Lizarra</t>
  </si>
  <si>
    <t>https://gsas.es/producto/base-de-datos-de-empresas-de-la-localidad-de-estrella-lizarra-en-la-provincia-de-navarra/</t>
  </si>
  <si>
    <t>Estepona</t>
  </si>
  <si>
    <t>https://gsas.es/producto/base-de-datos-de-empresas-de-la-localidad-de-estepona-en-la-provincia-de-malaga/</t>
  </si>
  <si>
    <t>Ezcaray</t>
  </si>
  <si>
    <t>Falset</t>
  </si>
  <si>
    <t>Felanitx</t>
  </si>
  <si>
    <t>https://gsas.es/producto/base-de-datos-de-empresas-de-la-localidad-del-ferrol-en-la-provincia-de-a-coruna-la-coruna/</t>
  </si>
  <si>
    <t>Ferrol</t>
  </si>
  <si>
    <t>Figueres</t>
  </si>
  <si>
    <t>https://gsas.es/producto/base-de-datos-de-empresas-de-la-localidad-de-figueres-en-la-provincia-de-gerona-girona/</t>
  </si>
  <si>
    <t>https://gsas.es/producto/base-de-datos-de-empresas-de-la-localidad-de-pinoso-en-la-provincia-de-alicante/</t>
  </si>
  <si>
    <t>Fisterra</t>
  </si>
  <si>
    <t>Fogueres De Montsoriu</t>
  </si>
  <si>
    <t>Fontanilles</t>
  </si>
  <si>
    <t>Fontclara</t>
  </si>
  <si>
    <t>Fontecarmoa (San Pedro)</t>
  </si>
  <si>
    <t>https://gsas.es/producto/base-de-datos-de-empresas-de-la-localidad-de-fontecarmoa-en-la-provincia-de-pontevedra/</t>
  </si>
  <si>
    <t>Fontei</t>
  </si>
  <si>
    <t>Formentera Del Segura</t>
  </si>
  <si>
    <t>https://gsas.es/producto/base-de-datos-de-empresas-de-la-localidad-de-sax-en-la-provincia-de-alicante/</t>
  </si>
  <si>
    <t>Formigal</t>
  </si>
  <si>
    <t>Fornells De La Selva</t>
  </si>
  <si>
    <t>https://gsas.es/producto/base-de-datos-de-empresas-de-la-localidad-de-tolls-en-la-provincia-de-alicante/</t>
  </si>
  <si>
    <t>Fortuna</t>
  </si>
  <si>
    <t>https://gsas.es/producto/base-de-datos-de-empresas-de-la-localidad-de-torrellano-en-la-provincia-de-alicante/</t>
  </si>
  <si>
    <t>Foz</t>
  </si>
  <si>
    <t>Fraga</t>
  </si>
  <si>
    <t>https://gsas.es/producto/base-de-datos-de-empresas-de-la-localidad-de-fraga-en-la-provincia-de-huesca/</t>
  </si>
  <si>
    <t>Fregenal De La Sierra</t>
  </si>
  <si>
    <t>Fuengirola</t>
  </si>
  <si>
    <t>https://gsas.es/producto/base-de-datos-de-empresas-en-la-localidad-de-fuengirola-de-la-provincia-de-malaga/</t>
  </si>
  <si>
    <t>Fuenlabrada</t>
  </si>
  <si>
    <t>https://gsas.es/producto/base-de-datos-de-empresas-de-la-localidad-de-fuenlabrada-en-la-provincia-de-madrid/</t>
  </si>
  <si>
    <t>Fuensalida</t>
  </si>
  <si>
    <t>Fuente Alamo</t>
  </si>
  <si>
    <t>Fuente De Cantos</t>
  </si>
  <si>
    <t>Fuente De La Salud</t>
  </si>
  <si>
    <t>Fuente De Las Cañas</t>
  </si>
  <si>
    <t>Fuente Del Maestre</t>
  </si>
  <si>
    <t>Fuente Del Rey</t>
  </si>
  <si>
    <t>https://gsas.es/producto/base-de-datos-de-empresas-de-la-localidad-de-fuente-del-rey-en-la-provincia-de-sevilla/</t>
  </si>
  <si>
    <t>Fuente El Saz De Jarama</t>
  </si>
  <si>
    <t>https://gsas.es/producto/base-de-datos-de-empresas-de-la-localidad-de-fuente-el-saz-de-jarama-en-la-provincia-de-madrid/</t>
  </si>
  <si>
    <t>Fuente Palmera</t>
  </si>
  <si>
    <t>Gabia La Chica</t>
  </si>
  <si>
    <t>Galapagar</t>
  </si>
  <si>
    <t>https://gsas.es/producto/base-de-datos-de-empresas-de-la-localidad-de-galapagar-en-la-provincia-de-madrid/</t>
  </si>
  <si>
    <t>Galdar</t>
  </si>
  <si>
    <t>Gandesa</t>
  </si>
  <si>
    <t>Gandia</t>
  </si>
  <si>
    <t>https://gsas.es/producto/base-de-datos-de-empresas-de-la-localidad-de-gandia-en-la-provincia-de-valencia/</t>
  </si>
  <si>
    <t>Gando</t>
  </si>
  <si>
    <t>Garrucha</t>
  </si>
  <si>
    <t>Gava</t>
  </si>
  <si>
    <t>https://gsas.es/producto/base-de-datos-de-empresas-de-la-localidad-de-gava-en-la-provincia-de-barcelona/</t>
  </si>
  <si>
    <t>Gelves</t>
  </si>
  <si>
    <t>https://gsas.es/producto/base-de-datos-de-empresas-de-la-localidad-de-gelves-en-la-provincia-de-sevilla/</t>
  </si>
  <si>
    <t>Gerena</t>
  </si>
  <si>
    <t>https://gsas.es/producto/base-de-datos-de-empresas-de-la-localidad-de-gerena-en-la-provincia-de-sevilla/</t>
  </si>
  <si>
    <t>https://gsas.es/producto/base-de-datos-de-empresas-de-la-localidad-de-gerona-girona-en-la-provincia-de-gerona-girona/</t>
  </si>
  <si>
    <t>Getafe</t>
  </si>
  <si>
    <t>https://gsas.es/producto/base-de-datos-de-empresas-de-la-localidad-de-getafe-en-la-provincia-de-madrid/</t>
  </si>
  <si>
    <t>Getxo (Inc. Las Arenas Y Algorta)</t>
  </si>
  <si>
    <t>https://gsas.es/producto/base-de-datos-de-empresas-de-la-localidad-de-getxo-en-la-provincia-de-vizcaya-bizkaia/</t>
  </si>
  <si>
    <t>Gibraleon</t>
  </si>
  <si>
    <t>Gijon</t>
  </si>
  <si>
    <t>https://gsas.es/producto/base-de-datos-de-empresas-de-la-localidad-de-gijon-en-la-provincia-de-asturias/</t>
  </si>
  <si>
    <t>Gines</t>
  </si>
  <si>
    <t>https://gsas.es/producto/base-de-datos-de-empresas-de-la-localidad-de-gines-en-la-provincia-de-sevilla/</t>
  </si>
  <si>
    <t>Gorraiz</t>
  </si>
  <si>
    <t>Gran Tarajal</t>
  </si>
  <si>
    <t>https://gsas.es/producto/base-de-datos-de-empresas-de-la-localidad-de-granada-en-la-provincia-de-granada/</t>
  </si>
  <si>
    <t>Granadilla</t>
  </si>
  <si>
    <t>Granollers</t>
  </si>
  <si>
    <t>https://gsas.es/producto/base-de-datos-de-empresas-de-la-localidad-de-granollers-en-la-provincia-de-barcelona/</t>
  </si>
  <si>
    <t>Grao De Moncofar</t>
  </si>
  <si>
    <t>Graus</t>
  </si>
  <si>
    <t>Grifeu</t>
  </si>
  <si>
    <t>Griñon</t>
  </si>
  <si>
    <t>https://gsas.es/producto/base-de-datos-de-empresas-de-la-localidad-de-grinon-en-la-provincia-de-madrid/</t>
  </si>
  <si>
    <t>https://gsas.es/producto/base-de-datos-de-empresas-de-la-localidad-de-guadalajara-en-la-provincia-de-guadalajara/</t>
  </si>
  <si>
    <t>Guadalcacin</t>
  </si>
  <si>
    <t>Guadalix De La Sierra</t>
  </si>
  <si>
    <t>https://gsas.es/producto/base-de-datos-de-empresas-de-la-localidad-de-guadalix-de-la-sierra-en-la-provincia-de-madrid/</t>
  </si>
  <si>
    <t>Guadalupe</t>
  </si>
  <si>
    <t>https://gsas.es/producto/base-de-datos-de-empresas-de-la-localidad-de-xalo-jalon-en-la-provincia-de-alicante/</t>
  </si>
  <si>
    <t>Guadarrama</t>
  </si>
  <si>
    <t>https://gsas.es/producto/base-de-datos-de-empresas-de-la-localidad-de-guadarrama-en-la-provincia-de-madrid/</t>
  </si>
  <si>
    <t>Guadiaro</t>
  </si>
  <si>
    <t>Guadix</t>
  </si>
  <si>
    <t>Guardo</t>
  </si>
  <si>
    <t>Guareña</t>
  </si>
  <si>
    <t>Guarnizo</t>
  </si>
  <si>
    <t>Guia De Isora</t>
  </si>
  <si>
    <t>Guijuelo</t>
  </si>
  <si>
    <t>Guillena</t>
  </si>
  <si>
    <t>https://gsas.es/producto/base-de-datos-de-empresas-de-la-localidad-de-guillena-en-la-provincia-de-sevilla/</t>
  </si>
  <si>
    <t>Guimar</t>
  </si>
  <si>
    <t>Guissona</t>
  </si>
  <si>
    <t>Gurb</t>
  </si>
  <si>
    <t>https://gsas.es/producto/base-de-datos-de-empresas-de-la-localidad-de-gurb-en-la-provincia-de-barcelona/</t>
  </si>
  <si>
    <t>Haro</t>
  </si>
  <si>
    <t>https://gsas.es/producto/base-de-datos-de-empresas-de-la-localidad-de-haro-en-la-provincia-de-la-rioja/</t>
  </si>
  <si>
    <t>Hellin</t>
  </si>
  <si>
    <t>https://gsas.es/producto/base-de-datos-de-empresas-de-la-localidad-de-hellin-en-la-provincia-de-albacete/</t>
  </si>
  <si>
    <t>Herencia</t>
  </si>
  <si>
    <t>Herrera</t>
  </si>
  <si>
    <t>https://gsas.es/producto/base-de-datos-de-empresas-de-la-localidad-de-herrera-en-la-provincia-de-sevilla/</t>
  </si>
  <si>
    <t>Herrera De La Mancha</t>
  </si>
  <si>
    <t>Herrera Del Duque</t>
  </si>
  <si>
    <t>Hervas</t>
  </si>
  <si>
    <t>Hinojosa Del Duque</t>
  </si>
  <si>
    <t>Hontoria</t>
  </si>
  <si>
    <t>Hostalric</t>
  </si>
  <si>
    <t>Hoya Morena</t>
  </si>
  <si>
    <t>https://gsas.es/producto/base-de-datos-de-empresas-de-la-localidad-de-hoya-morena-en-la-provincia-de-murcia/</t>
  </si>
  <si>
    <t>Hoyo De Manzanares</t>
  </si>
  <si>
    <t>https://gsas.es/producto/base-de-datos-de-empresas-de-la-localidad-de-hoyo-de-manzanares-en-la-provincia-de-madrid/</t>
  </si>
  <si>
    <t>Huelma</t>
  </si>
  <si>
    <t>https://gsas.es/producto/base-de-datos-de-empresas-de-la-localidad-de-huelva-en-la-provincia-de-huelva/</t>
  </si>
  <si>
    <t>https://gsas.es/producto/base-de-datos-de-empresas-de-la-localidad-de-huesca-en-la-provincia-de-huesca/</t>
  </si>
  <si>
    <t>Huescar</t>
  </si>
  <si>
    <t>Huetor Vega</t>
  </si>
  <si>
    <t>Huitar Mayor</t>
  </si>
  <si>
    <t>Humanes De Madrid</t>
  </si>
  <si>
    <t>https://gsas.es/producto/base-de-datos-de-empresas-de-la-localidad-de-humanes-de-madrid-en-la-provincia-de-madrid/</t>
  </si>
  <si>
    <t>Ibi</t>
  </si>
  <si>
    <t>https://gsas.es/producto/base-de-datos-de-empresas-de-la-localidad-de-ibi-en-la-provincia-de-alicante-alacant/</t>
  </si>
  <si>
    <t>Icod</t>
  </si>
  <si>
    <t>Igeldo</t>
  </si>
  <si>
    <t>Igualada</t>
  </si>
  <si>
    <t>https://gsas.es/producto/base-de-datos-de-empresas-de-la-localidad-de-igualada-en-la-provincia-de-barcelona/</t>
  </si>
  <si>
    <t>Illescas</t>
  </si>
  <si>
    <t>https://gsas.es/producto/base-de-datos-de-empresas-de-la-localidad-de-illescas-en-la-provincia-de-toledo/</t>
  </si>
  <si>
    <t>Inca</t>
  </si>
  <si>
    <t>https://gsas.es/producto/base-de-datos-de-empresas-de-la-localidad-de-inca-en-la-provincia-de-islas-baleares-iles-balears/</t>
  </si>
  <si>
    <t>Irun</t>
  </si>
  <si>
    <t>https://gsas.es/producto/base-de-datos-de-empresas-de-la-localidad-de-irun-en-la-provincia-de-guipuzcoa-guipuzkoa/</t>
  </si>
  <si>
    <t>Iscar</t>
  </si>
  <si>
    <t>Isla Cristina</t>
  </si>
  <si>
    <t>Isla De Canela</t>
  </si>
  <si>
    <t>Jaraiz De La Vera</t>
  </si>
  <si>
    <t>Jarandilla</t>
  </si>
  <si>
    <t>Jaula</t>
  </si>
  <si>
    <t>Jerez De La Frontera</t>
  </si>
  <si>
    <t>Jerez De Los Caballeros</t>
  </si>
  <si>
    <t>https://gsas.es/producto/base-de-datos-de-empresas-de-la-localidad-de-jerez-de-la-frontera-en-la-provincia-de-cadiz/</t>
  </si>
  <si>
    <t>Jodar</t>
  </si>
  <si>
    <t>Jumilla</t>
  </si>
  <si>
    <t>https://gsas.es/producto/base-de-datos-de-empresas-de-la-localidad-de-jumilla-en-la-provincia-de-murcia/</t>
  </si>
  <si>
    <t>L Albir</t>
  </si>
  <si>
    <t>L Alcora</t>
  </si>
  <si>
    <t>L Aldea</t>
  </si>
  <si>
    <t>L Alfas Del Pi</t>
  </si>
  <si>
    <t>L Ametlla De Mar</t>
  </si>
  <si>
    <t>L Ampolla</t>
  </si>
  <si>
    <t>L Eixample</t>
  </si>
  <si>
    <t>L Estartit</t>
  </si>
  <si>
    <t>L Horta (Pollença)</t>
  </si>
  <si>
    <t>https://gsas.es/producto/base-de-datos-de-empresas-de-la-localidad-de-l-horta-en-la-provincia-de-islas-baleares/</t>
  </si>
  <si>
    <t>L Hospitalet De L Infant</t>
  </si>
  <si>
    <t>L Hospitalet De Llobregat</t>
  </si>
  <si>
    <t>https://gsas.es/producto/base-de-datos-de-empresas-de-la-localidad-de-hospitalet-de-llobregat-en-la-provincia-de-barcelona/</t>
  </si>
  <si>
    <t>La Alberca</t>
  </si>
  <si>
    <t>https://gsas.es/producto/base-de-datos-de-empresas-de-la-localidad-de-la-alberca-en-la-provincia-de-murcia/</t>
  </si>
  <si>
    <t>La Alcaidia</t>
  </si>
  <si>
    <t>La Algaba</t>
  </si>
  <si>
    <t>https://gsas.es/producto/base-de-datos-de-empresas-de-la-localidad-de-la-algaba-en-la-provincia-de-sevilla/</t>
  </si>
  <si>
    <t>La Algarrobina</t>
  </si>
  <si>
    <t>La Almazara Caserio</t>
  </si>
  <si>
    <t>La Almunia De Doña Godina</t>
  </si>
  <si>
    <t>La Alqueria (Mijas)</t>
  </si>
  <si>
    <t>La Antilla</t>
  </si>
  <si>
    <t>La Arbeya</t>
  </si>
  <si>
    <t>La Atalaya De Guia</t>
  </si>
  <si>
    <t>La Bañeza</t>
  </si>
  <si>
    <t>La Barceloneta</t>
  </si>
  <si>
    <t>La Barquera</t>
  </si>
  <si>
    <t>La Barrosa</t>
  </si>
  <si>
    <t>La Bisbal D Emporda</t>
  </si>
  <si>
    <t>La Borbolla (Grado)</t>
  </si>
  <si>
    <t>La Botjosa</t>
  </si>
  <si>
    <t>https://gsas.es/producto/base-de-datos-de-empresas-de-la-localidad-de-la-botjosa-en-la-provincia-de-barcelona/</t>
  </si>
  <si>
    <t>La Cala De Mijas</t>
  </si>
  <si>
    <t>La Calavera (Santiago De La Rivera)</t>
  </si>
  <si>
    <t>La Caldera</t>
  </si>
  <si>
    <t>https://gsas.es/producto/base-de-datos-de-empresas-de-la-localidad-de-la-caldera-en-la-provincia-de-tenerife/</t>
  </si>
  <si>
    <t>La Caleta (Adeje)</t>
  </si>
  <si>
    <t>La Calzada</t>
  </si>
  <si>
    <t>La Canonja</t>
  </si>
  <si>
    <t>La Canyera</t>
  </si>
  <si>
    <t>La Cañada De Don Rodrigo</t>
  </si>
  <si>
    <t>La Carolina</t>
  </si>
  <si>
    <t>La Carrera</t>
  </si>
  <si>
    <t>La Cenia</t>
  </si>
  <si>
    <t>La Cierva</t>
  </si>
  <si>
    <t>La Cisterniga</t>
  </si>
  <si>
    <t>La Colonia Jordana</t>
  </si>
  <si>
    <t>La Costa (Alqueria Blanca)</t>
  </si>
  <si>
    <t>https://gsas.es/producto/base-de-datos-de-empresas-de-la-localidad-de-la-costa-en-la-provincia-de-islas-baleares/</t>
  </si>
  <si>
    <t>La Cuesta</t>
  </si>
  <si>
    <t>La Esperanza (Huetor Tajar)</t>
  </si>
  <si>
    <t>La Florida</t>
  </si>
  <si>
    <t>https://gsas.es/producto/base-de-datos-de-empresas-de-la-lcalidad-de-la-florida-en-la-provincia-de-barcelona/</t>
  </si>
  <si>
    <t>La Florida (Las Torres De Cotillas)</t>
  </si>
  <si>
    <t>La Garriga</t>
  </si>
  <si>
    <t>https://gsas.es/producto/base-de-datos-de-empresas-de-la-localidad-de-la-garriga-en-la-provincia-de-barcelona/</t>
  </si>
  <si>
    <t>https://gsas.es/producto/base-de-datos-de-empresas-de-la-localidad-de-la-garriga-en-la-provincia-de-islas-baleares/</t>
  </si>
  <si>
    <t>La Herradura</t>
  </si>
  <si>
    <t>La Jarilla</t>
  </si>
  <si>
    <t>https://gsas.es/producto/base-de-datos-de-empresas-de-la-localidad-de-la-jarilla-en-la-provincia-de-sevilla/</t>
  </si>
  <si>
    <t>La Jonquera</t>
  </si>
  <si>
    <t>La Lastrilla</t>
  </si>
  <si>
    <t>La Linea De La Concepcion</t>
  </si>
  <si>
    <t>La Llagosta</t>
  </si>
  <si>
    <t>https://gsas.es/producto/base-de-datos-de-empresas-de-la-localidad-de-la-llagosta-en-la-provincia-de-barcelona/</t>
  </si>
  <si>
    <t>La Manga Del Mar Menor</t>
  </si>
  <si>
    <t>La Matanza De Acentejo</t>
  </si>
  <si>
    <t>La Mojonera</t>
  </si>
  <si>
    <t>La Muela</t>
  </si>
  <si>
    <t>La Orotava</t>
  </si>
  <si>
    <t>https://gsas.es/producto/base-de-datos-de-empresas-de-la-localidad-de-la-orotava-en-la-provincia-de-tenerife/</t>
  </si>
  <si>
    <t>La Palma Del Condado</t>
  </si>
  <si>
    <t>La Pineda</t>
  </si>
  <si>
    <t>La Pobla De Farnals</t>
  </si>
  <si>
    <t>La Pobla De Segur</t>
  </si>
  <si>
    <t>La Puebla De Alfinden</t>
  </si>
  <si>
    <t>La Puebla De Cazalla</t>
  </si>
  <si>
    <t>https://gsas.es/producto/base-de-datos-de-empresas-de-la-localidad-de-la-puebla-de-cazalla-en-la-provincia-de-sevilla/</t>
  </si>
  <si>
    <t>La Puebla De Montalban</t>
  </si>
  <si>
    <t>La Rambla</t>
  </si>
  <si>
    <t>La Redonda</t>
  </si>
  <si>
    <t>La Roca Del Valles</t>
  </si>
  <si>
    <t>https://gsas.es/producto/base-de-datos-de-empresas-de-la-localidad-de-la-roca-del-valles-en-la-provincia-de-barcelona/</t>
  </si>
  <si>
    <t>La Roda</t>
  </si>
  <si>
    <t>La Selva Del Camp</t>
  </si>
  <si>
    <t>La Solana</t>
  </si>
  <si>
    <t>La Union</t>
  </si>
  <si>
    <t>https://gsas.es/producto/base-de-datos-de-empresas-de-la-localidad-de-la-union-en-la-provincia-de-murcia/</t>
  </si>
  <si>
    <t>La Vall D Uixo</t>
  </si>
  <si>
    <t>La Victoria De Acentejo</t>
  </si>
  <si>
    <t>La Zubia</t>
  </si>
  <si>
    <t>Laguardia</t>
  </si>
  <si>
    <t>Laguna De Duero</t>
  </si>
  <si>
    <t>Lalin</t>
  </si>
  <si>
    <t>Lardero</t>
  </si>
  <si>
    <t>Larrabasterra</t>
  </si>
  <si>
    <t>Las Abiertas</t>
  </si>
  <si>
    <t>Las Aljabaras</t>
  </si>
  <si>
    <t>Las Arboledas</t>
  </si>
  <si>
    <t>https://gsas.es/producto/base-de-datos-de-empresas-de-la-localidad-de-las-arboladas-en-la-provincia-de-murcia/</t>
  </si>
  <si>
    <t>Las Arenas (La Orotava)</t>
  </si>
  <si>
    <t>Las Cabezas De San Juan</t>
  </si>
  <si>
    <t>https://gsas.es/producto/base-de-datos-de-empresas-de-la-localidad-de-las-cabezas-de-san-juanen-la-provincia-de-sevilla/</t>
  </si>
  <si>
    <t>Las Caletillas</t>
  </si>
  <si>
    <t>Las Casicas</t>
  </si>
  <si>
    <t>Las Casicas (Dolores Pacheco)</t>
  </si>
  <si>
    <t>Las Casicas (Puerto Lumbreras)</t>
  </si>
  <si>
    <t>Las Galletas</t>
  </si>
  <si>
    <t>Las Gaviotas</t>
  </si>
  <si>
    <t>Las Marinas</t>
  </si>
  <si>
    <t>Las Palmas De Gran Canaria</t>
  </si>
  <si>
    <t>https://gsas.es/producto/base-de-datos-de-empresas-de-la-localidad-de-las-palmas-de-gran-canarias-en-la-provincia-de-las-palmas/</t>
  </si>
  <si>
    <t>Las Rozas de Madrid</t>
  </si>
  <si>
    <t>https://gsas.es/producto/base-de-datos-de-empresas-de-la-localidad-de-las-rozas-de-madrid-en-la-provincia-de-madrid/</t>
  </si>
  <si>
    <t>Lebrija</t>
  </si>
  <si>
    <t>https://gsas.es/producto/base-de-datos-de-empresas-de-la-localidad-de-lebrija-en-la-provincia-de-sevilla/</t>
  </si>
  <si>
    <t>Leganes</t>
  </si>
  <si>
    <t>https://gsas.es/producto/base-de-datos-de-empresas-de-la-localidad-de-leganes-en-la-provincia-de-madrid/</t>
  </si>
  <si>
    <t>Legazpi</t>
  </si>
  <si>
    <t>Lekeitio</t>
  </si>
  <si>
    <t>https://gsas.es/producto/base-de-datos-de-empresas-de-la-localidad-de-leon-en-la-provincia-de-leon/</t>
  </si>
  <si>
    <t>Lepe</t>
  </si>
  <si>
    <t>https://gsas.es/producto/base-de-datos-de-empresas-de-la-localidad-de-lerida-lleida-en-la-provincia-de-lerida-lleida/</t>
  </si>
  <si>
    <t>Lerma</t>
  </si>
  <si>
    <t>Les Borges Blanques</t>
  </si>
  <si>
    <t>https://gsas.es/producto/base-de-datos-de-empresas-de-la-localidad-de-les-botigues-de-sitges-en-la-provincia-de-barcelona/</t>
  </si>
  <si>
    <t>Les Mallorquines</t>
  </si>
  <si>
    <t>https://gsas.es/producto/base-de-datos-de-empresas-de-la-localidad-de-l-horta-en-la-provincia-de-islas-baleares-iles-balears/</t>
  </si>
  <si>
    <t>Librilla</t>
  </si>
  <si>
    <t>Linares</t>
  </si>
  <si>
    <t>https://gsas.es/producto/base-de-datos-de-empresas-de-la-localidad-de-linares-en-la-provincia-de-jaen/</t>
  </si>
  <si>
    <t>Llanes</t>
  </si>
  <si>
    <t>Llanos De La Mareta</t>
  </si>
  <si>
    <t>https://gsas.es/producto/base-de-datos-de-empresas-de-la-localidad-de-llanos-de-la-mareta-en-la-provincia-de-las-palmas/</t>
  </si>
  <si>
    <t>Llerena</t>
  </si>
  <si>
    <t>Lliça D Amunt</t>
  </si>
  <si>
    <t>https://gsas.es/producto/base-de-datos-de-empresas-de-la-localidad-de-llica-d-amunt-en-la-provincia-de-barcelona/</t>
  </si>
  <si>
    <t>Lliça De Vall</t>
  </si>
  <si>
    <t>https://gsas.es/producto/base-de-datos-de-empresas-de-la-localidad-de-llica-de-vall-en-la-provincia-de-barcelona/</t>
  </si>
  <si>
    <t>Lliria</t>
  </si>
  <si>
    <t>Lloseta</t>
  </si>
  <si>
    <t>https://gsas.es/producto/base-de-datos-de-empresas-de-la-localidad-de-lloseta-en-la-provincia-de-islas-baleares/</t>
  </si>
  <si>
    <t>Llucmajor</t>
  </si>
  <si>
    <t>https://gsas.es/producto/base-de-datos-de-empresas-de-la-localidad-de-llucmajor-en-la-provincia-de-islas-baleares/</t>
  </si>
  <si>
    <t>Lo Blanque</t>
  </si>
  <si>
    <t>Lo Ferro</t>
  </si>
  <si>
    <t>Lodosa</t>
  </si>
  <si>
    <t>Loeches</t>
  </si>
  <si>
    <t>https://gsas.es/producto/base-de-datos-de-empresas-de-la-localidad-de-loeches-en-la-provincia-de-madrid/</t>
  </si>
  <si>
    <t>Logroño</t>
  </si>
  <si>
    <t>https://gsas.es/producto/base-de-datos-de-empresas-de-la-localidad-de-logrono-en-la-provincia-de-la-rioja/</t>
  </si>
  <si>
    <t>Lomas Del Gallego</t>
  </si>
  <si>
    <t>Lorca</t>
  </si>
  <si>
    <t>https://gsas.es/producto/base-de-datos-de-empresas-de-la-localidad-de-lorca-en-la-provincia-de-murcia/</t>
  </si>
  <si>
    <t>Lorqui</t>
  </si>
  <si>
    <t>Los Abrigos</t>
  </si>
  <si>
    <t>Los Albertos</t>
  </si>
  <si>
    <t>Los Alburejos</t>
  </si>
  <si>
    <t>Los Alcazares</t>
  </si>
  <si>
    <t>https://gsas.es/producto/base-de-datos-de-empresas-de-la-localidad-de-los-alcazares-en-la-provincia-de-murcia/</t>
  </si>
  <si>
    <t>Los Ancones</t>
  </si>
  <si>
    <t>Los Andenes</t>
  </si>
  <si>
    <t>https://gsas.es/producto/base-de-datos-de-empresas-de-la-localidad-de-los-andenes-en-la-provincia-de-tenerife/</t>
  </si>
  <si>
    <t>Los Antolinos</t>
  </si>
  <si>
    <t>https://gsas.es/producto/base-de-datos-de-empresas-de-la-localidad-de-los-antolinos-en-la-provincia-de-murcia/</t>
  </si>
  <si>
    <t>Los Asensio</t>
  </si>
  <si>
    <t>Los Aznares</t>
  </si>
  <si>
    <t>Los Barreros</t>
  </si>
  <si>
    <t>https://gsas.es/producto/base-de-datos-de-empresas-de-la-localidad-de-los-barreros-en-la-provincia-de-murcia/</t>
  </si>
  <si>
    <t>Los Barrios</t>
  </si>
  <si>
    <t>Los Benitos</t>
  </si>
  <si>
    <t>Los Cancajos</t>
  </si>
  <si>
    <t>Los Caños De Meca</t>
  </si>
  <si>
    <t>Los Collereros</t>
  </si>
  <si>
    <t>Los Corrales De Buelna</t>
  </si>
  <si>
    <t>Los Escullos</t>
  </si>
  <si>
    <t>Los Huertos</t>
  </si>
  <si>
    <t>https://gsas.es/producto/base-de-datos-de-empresas-de-la-localidad-de-los-huertos-en-la-provincia-de-alicante-alacant/</t>
  </si>
  <si>
    <t>Los Palacios Y Villafranca</t>
  </si>
  <si>
    <t>https://gsas.es/producto/base-de-datos-de-empresas-de-la-localidad-de-los-palacios-y-villafranca-en-la-provincia-de-sevilla/</t>
  </si>
  <si>
    <t>Los Pepitos</t>
  </si>
  <si>
    <t>Los Pinos</t>
  </si>
  <si>
    <t>Los Santos De Maimona</t>
  </si>
  <si>
    <t>Los Villares</t>
  </si>
  <si>
    <t>Los Yebenes</t>
  </si>
  <si>
    <t>Luanco</t>
  </si>
  <si>
    <t>https://gsas.es/producto/base-de-datos-de-empresas-de-la-localidad-de-lugo-en-la-provincia-de-lugo/</t>
  </si>
  <si>
    <t>Maçanet De La Selva</t>
  </si>
  <si>
    <t>https://gsas.es/producto/base-de-datos-de-empresas-de-la-localidad-de-madrid-de-la-provincia-de-madrid/</t>
  </si>
  <si>
    <t>Madridejos</t>
  </si>
  <si>
    <t>Magazos (Santa Maria)</t>
  </si>
  <si>
    <t>Mairena Del Aljarafe</t>
  </si>
  <si>
    <t>https://gsas.es/producto/base-de-datos-de-empresas-de-la-localidad-de-mairena-del-aljarafe-en-la-provincia-de-sevilla/</t>
  </si>
  <si>
    <t>Majadahonda</t>
  </si>
  <si>
    <t>https://gsas.es/producto/base-de-datos-de-empresas-de-la-localidad-de-majadahonda-en-la-provincia-de-madrid/</t>
  </si>
  <si>
    <t>https://gsas.es/producto/base-de-datos-de-empresas-de-la-localidad-de-malaga-de-la-provincia-de-malaga/</t>
  </si>
  <si>
    <t>Malagon</t>
  </si>
  <si>
    <t>Malgrat De Mar</t>
  </si>
  <si>
    <t>https://gsas.es/producto/base-de-datos-de-empresas-de-la-localidad-de-malgrat-de-mar-en-la-provincia-de-barcelona/</t>
  </si>
  <si>
    <t>Maliaño</t>
  </si>
  <si>
    <t>Manacor</t>
  </si>
  <si>
    <t>https://gsas.es/producto/base-de-datos-de-empresas-de-la-localidad-de-manacor-en-la-provincia-de-islas-baleares-iles-balears/</t>
  </si>
  <si>
    <t>Mancha Real</t>
  </si>
  <si>
    <t>Manilva</t>
  </si>
  <si>
    <t>Manlleu</t>
  </si>
  <si>
    <t>https://gsas.es/producto/base-de-datos-de-empresas-de-la-localidad-de-manlleu-en-la-provincia-de-barcelona/</t>
  </si>
  <si>
    <t>Manresa</t>
  </si>
  <si>
    <t>https://gsas.es/producto/base-de-datos-de-empresas-de-la-localidad-de-manresa-en-la-provincia-de-barcelona/</t>
  </si>
  <si>
    <t>Manzanares El Real</t>
  </si>
  <si>
    <t>https://gsas.es/producto/base-de-datos-de-empresas-de-la-localidad-de-manzanares-el-real-en-la-provincia-de-madrid/</t>
  </si>
  <si>
    <t>Mao</t>
  </si>
  <si>
    <t>https://gsas.es/producto/base-de-datos-de-empresas-de-la-localidad-de-mao-en-la-provincia-de-islas-baleares-iles-balears/</t>
  </si>
  <si>
    <t>Maracena</t>
  </si>
  <si>
    <t>Marbella</t>
  </si>
  <si>
    <t>https://gsas.es/producto/base-de-datos-de-empresas-de-la-localidad-de-marbella-en-la-provincia-de-malaga/</t>
  </si>
  <si>
    <t>Marchena</t>
  </si>
  <si>
    <t>https://gsas.es/producto/base-de-datos-de-empresas-de-la-localidad-de-marchena-en-la-provincia-de-sevilla/</t>
  </si>
  <si>
    <t>Marin</t>
  </si>
  <si>
    <t>Marmolejo</t>
  </si>
  <si>
    <t>Martin (Ribeira)</t>
  </si>
  <si>
    <t>Martorell</t>
  </si>
  <si>
    <t>https://gsas.es/producto/base-de-datos-de-empresas-de-la-localidad-de-martorell-en-la-provincia-de-barcelona/</t>
  </si>
  <si>
    <t>Martos</t>
  </si>
  <si>
    <t>Masia Del Oliveral</t>
  </si>
  <si>
    <t>Masquefa</t>
  </si>
  <si>
    <t>https://gsas.es/producto/base-de-datos-de-empresas-de-la-localidad-de-masquefa-en-la-provincia-de-barcelona/</t>
  </si>
  <si>
    <t>Massamagrell</t>
  </si>
  <si>
    <t>Matamorosa</t>
  </si>
  <si>
    <t>Mataro</t>
  </si>
  <si>
    <t>https://gsas.es/producto/base-de-datos-de-empresas-de-la-localidad-de-mataro-en-la-provincia-de-barcelona/</t>
  </si>
  <si>
    <t>Mazagon</t>
  </si>
  <si>
    <t>Mazarron</t>
  </si>
  <si>
    <t>Medina De Pomar</t>
  </si>
  <si>
    <t>Medina De Rioseco</t>
  </si>
  <si>
    <t>Medina Del Campo</t>
  </si>
  <si>
    <t>https://gsas.es/producto/base-de-datos-de-empresas-de-la-localidad-de-medina-del-campo-en-la-provincia-de-valladolid/</t>
  </si>
  <si>
    <t>Mejorada Del Campo</t>
  </si>
  <si>
    <t>https://gsas.es/producto/base-de-datos-de-empresas-de-la-localidad-de-mejorada-del-campo-en-la-provincia-de-madrid/</t>
  </si>
  <si>
    <t>Meliana</t>
  </si>
  <si>
    <t>Melide</t>
  </si>
  <si>
    <t>Membrilla</t>
  </si>
  <si>
    <t>Mendillorri</t>
  </si>
  <si>
    <t>Mengibar</t>
  </si>
  <si>
    <t>Merida</t>
  </si>
  <si>
    <t>https://gsas.es/producto/base-de-datos-de-empresas-de-la-localidad-de-merida-en-la-provincia-de-badajoz/</t>
  </si>
  <si>
    <t>Miajadas</t>
  </si>
  <si>
    <t>Miguelturra</t>
  </si>
  <si>
    <t>Mijas</t>
  </si>
  <si>
    <t>Milan</t>
  </si>
  <si>
    <t>Milanos (Montefrio)</t>
  </si>
  <si>
    <t>Mimetiz</t>
  </si>
  <si>
    <t>Miño</t>
  </si>
  <si>
    <t>Miraflores De La Sierra</t>
  </si>
  <si>
    <t>https://gsas.es/producto/base-de-datos-de-empresas-de-la-localidad-de-miraflores-de-la-sierra-en-la-provincia-de-madrid/</t>
  </si>
  <si>
    <t>Mislata</t>
  </si>
  <si>
    <t>Moguer</t>
  </si>
  <si>
    <t>Moia</t>
  </si>
  <si>
    <t>https://gsas.es/producto/base-de-datos-de-empresas-de-la-localidad-de-moia-en-la-provincia-de-barcelona/</t>
  </si>
  <si>
    <t>Moixerigues (Santa Maria De Palautordera)</t>
  </si>
  <si>
    <t>https://gsas.es/producto/base-de-datos-de-empresas-de-la-localidad-de-moixerigues-santa-maria-de-palautordera-en-la-provincia-de-barcelona/</t>
  </si>
  <si>
    <t>Moli Santa Maria</t>
  </si>
  <si>
    <t>Molina De Segura</t>
  </si>
  <si>
    <t>https://gsas.es/producto/base-de-datos-de-empresas-de-la-localidad-de-molina-de-segura-en-la-provincia-de-murcia/</t>
  </si>
  <si>
    <t>Molins De Rei</t>
  </si>
  <si>
    <t>https://gsas.es/producto/base-de-datos-de-empresas-de-la-localidad-de-molins-de-rei-en-la-provincia-de-barcelona/</t>
  </si>
  <si>
    <t>Mollerussa</t>
  </si>
  <si>
    <t>https://gsas.es/producto/base-de-datos-de-empresas-de-la-localidad-de-mollerussa-en-la-provincia-de-lerida-lleida/</t>
  </si>
  <si>
    <t>Mollet Del Valles</t>
  </si>
  <si>
    <t>https://gsas.es/producto/base-de-datos-de-empresas-de-la-localidad-de-mollet-del-valles-en-la-provincia-de-barcelona/</t>
  </si>
  <si>
    <t>Moncada</t>
  </si>
  <si>
    <t>Monesterio</t>
  </si>
  <si>
    <t>Monforte De Lemos</t>
  </si>
  <si>
    <t>Monforte Del Cid</t>
  </si>
  <si>
    <t>Monserrat</t>
  </si>
  <si>
    <t>Montblanc</t>
  </si>
  <si>
    <t>Montcada I Reixac</t>
  </si>
  <si>
    <t>https://gsas.es/producto/base-de-datos-de-empresas-de-la-localidad-de-montcada-i-reixac-en-la-provincia-de-barcelona/</t>
  </si>
  <si>
    <t>Montellano</t>
  </si>
  <si>
    <t>https://gsas.es/producto/base-de-datos-de-empresas-de-la-localidad-de-montellano-en-la-provincia-de-sevilla/</t>
  </si>
  <si>
    <t>Montemayor De Pililla</t>
  </si>
  <si>
    <t>Montepego</t>
  </si>
  <si>
    <t xml:space="preserve">Montequinto </t>
  </si>
  <si>
    <t>https://gsas.es/producto/base-de-datos-de-empresas-de-la-localidad-de-montequinto-en-la-provincia-de-sevilla/</t>
  </si>
  <si>
    <t>Montgat</t>
  </si>
  <si>
    <t>https://gsas.es/producto/base-de-datos-de-empresas-de-la-localidad-de-montgat-en-la-provincia-de-barcelona/</t>
  </si>
  <si>
    <t>Montijo</t>
  </si>
  <si>
    <t>Montmelo</t>
  </si>
  <si>
    <t>https://gsas.es/producto/base-de-datos-de-empresas-de-la-localidad-de-montmelo-en-la-provincia-de-barcelona/</t>
  </si>
  <si>
    <t>Montornes Del Valles</t>
  </si>
  <si>
    <t>https://gsas.es/producto/base-de-datos-de-empresas-de-la-localidad-de-montornes-del-valles-en-la-provincia-de-barcelona/</t>
  </si>
  <si>
    <t>Montseny</t>
  </si>
  <si>
    <t>https://gsas.es/producto/base-de-datos-de-empresas-de-la-localidad-de-montseny-en-la-provincia-de-barcelona/</t>
  </si>
  <si>
    <t>Monzon</t>
  </si>
  <si>
    <t>https://gsas.es/producto/base-de-datos-de-empresas-de-la-localidad-de-monzon-en-la-provincia-de-huesca/</t>
  </si>
  <si>
    <t>Mora</t>
  </si>
  <si>
    <t>Mora D Ebre</t>
  </si>
  <si>
    <t>Moraleja</t>
  </si>
  <si>
    <t>Moraleja De Enmedio</t>
  </si>
  <si>
    <t>https://gsas.es/producto/base-de-datos-de-empresas-de-la-localidad-de-moraleja-de-enmedio-en-la-provincia-de-madrid/</t>
  </si>
  <si>
    <t>Moralzarzal</t>
  </si>
  <si>
    <t>https://gsas.es/producto/base-de-datos-de-empresas-de-la-localidad-de-moralzarzal-en-la-provincia-de-madrid/</t>
  </si>
  <si>
    <t>Morata De Tajuña</t>
  </si>
  <si>
    <t>https://gsas.es/producto/base-de-datos-de-empresas-de-la-localidad-de-morata-de-tajuna-en-la-provincia-de-madrid/</t>
  </si>
  <si>
    <t>Moratalla</t>
  </si>
  <si>
    <t>Morella</t>
  </si>
  <si>
    <t>Moron De La Frontera</t>
  </si>
  <si>
    <t>https://gsas.es/producto/base-de-datos-de-empresas-de-la-localidad-de-moron-de-la-frontera-en-la-provincia-de-sevilla/</t>
  </si>
  <si>
    <t>Mostoles</t>
  </si>
  <si>
    <t>https://gsas.es/producto/base-de-datos-de-empresas-de-la-localidad-de-mostoles-en-la-provincia-de-madrid/</t>
  </si>
  <si>
    <t>Mota Del Cuervo</t>
  </si>
  <si>
    <t>Motilla Del Palancar</t>
  </si>
  <si>
    <t>Motril</t>
  </si>
  <si>
    <t>https://gsas.es/producto/base-de-datos-de-empresas-de-la-localidad-de-motril-en-la-provincia-de-granada/</t>
  </si>
  <si>
    <t>https://gsas.es/producto/base-de-datos-de-empresas-de-la-localidad-de-murcia-en-la-provincia-de-murcia/</t>
  </si>
  <si>
    <t>Muro</t>
  </si>
  <si>
    <t>https://gsas.es/producto/base-de-datos-de-empresas-de-la-localidad-de-muro-en-la-provincia-de-islas-baleares/</t>
  </si>
  <si>
    <t>Muro De Alcoy</t>
  </si>
  <si>
    <t>Museros</t>
  </si>
  <si>
    <t>Naciente</t>
  </si>
  <si>
    <t>Najera</t>
  </si>
  <si>
    <t>https://gsas.es/producto/base-de-datos-de-empresas-de-la-localidad-de-najera-en-la-provincia-de-la-rioja/</t>
  </si>
  <si>
    <t>Naquera</t>
  </si>
  <si>
    <t>Navalcarnero</t>
  </si>
  <si>
    <t>https://gsas.es/producto/base-de-datos-de-empresas-de-la-localidad-de-navalcarnero-en-la-provincia-de-madrid/</t>
  </si>
  <si>
    <t>Navalmoral De La Mata</t>
  </si>
  <si>
    <t>https://gsas.es/producto/base-de-datos-de-empresas-de-la-localidad-de-navalmoral-de-la-mata-en-la-provincia-de-caceres/</t>
  </si>
  <si>
    <t>Navarrete</t>
  </si>
  <si>
    <t>Navatejera</t>
  </si>
  <si>
    <t>Negreira</t>
  </si>
  <si>
    <t>Nerja</t>
  </si>
  <si>
    <t>Nijar</t>
  </si>
  <si>
    <t>Noia</t>
  </si>
  <si>
    <t>Noja</t>
  </si>
  <si>
    <t>Noreña</t>
  </si>
  <si>
    <t>Nuevo Baztan</t>
  </si>
  <si>
    <t>https://gsas.es/producto/base-de-datos-de-empresas-de-la-localidad-de-nuevo-baztan-en-la-provincia-de-madrid/</t>
  </si>
  <si>
    <t>Nules</t>
  </si>
  <si>
    <t>Numancia De La Sagra</t>
  </si>
  <si>
    <t>O Ameneiral (Perlio)</t>
  </si>
  <si>
    <t>O Barco</t>
  </si>
  <si>
    <t>O Birloque</t>
  </si>
  <si>
    <t>https://gsas.es/producto/base-de-datos-de-empresas-de-la-localidad-del-o-birloque-en-la-provincia-de-a-coruna-la-coruna/</t>
  </si>
  <si>
    <t>O Casal (Budiño)</t>
  </si>
  <si>
    <t>O Casal (Tameiga)</t>
  </si>
  <si>
    <t>O Graxal</t>
  </si>
  <si>
    <t>O Grove</t>
  </si>
  <si>
    <t>O Porriño</t>
  </si>
  <si>
    <t>O Seixo (Tomiño)</t>
  </si>
  <si>
    <t>Ocaña</t>
  </si>
  <si>
    <t>Ogijares</t>
  </si>
  <si>
    <t>Oion</t>
  </si>
  <si>
    <t>Olesa De Montserrat</t>
  </si>
  <si>
    <t>https://gsas.es/producto/base-de-datos-de-empresas-de-la-localidad-de-olesa-de-montserrat-en-la-provincia-de-barcelona/</t>
  </si>
  <si>
    <t>Olias Del Rey</t>
  </si>
  <si>
    <t>Olite</t>
  </si>
  <si>
    <t>Oliva</t>
  </si>
  <si>
    <t>Olivares</t>
  </si>
  <si>
    <t>https://gsas.es/producto/base-de-datos-de-empresas-de-la-localidad-de-olivares-en-la-provincia-de-sevilla/</t>
  </si>
  <si>
    <t>Olivenza</t>
  </si>
  <si>
    <t>Olmedo</t>
  </si>
  <si>
    <t>Olot</t>
  </si>
  <si>
    <t>https://gsas.es/producto/base-de-datos-de-empresas-de-la-localidad-de-olot-en-la-provincia-de-gerona-girona/</t>
  </si>
  <si>
    <t>Olvera</t>
  </si>
  <si>
    <t>Onda</t>
  </si>
  <si>
    <t>Ondara</t>
  </si>
  <si>
    <t>Ondarroa</t>
  </si>
  <si>
    <t>Onil</t>
  </si>
  <si>
    <t>Ontinyent</t>
  </si>
  <si>
    <t>https://gsas.es/producto/base-de-datos-de-empresas-de-la-localidad-de-ontinyent-en-la-provincia-de-valencia/</t>
  </si>
  <si>
    <t>Oñati</t>
  </si>
  <si>
    <t>Ordizia</t>
  </si>
  <si>
    <t>Orgiva</t>
  </si>
  <si>
    <t>Orio</t>
  </si>
  <si>
    <t>Orkoien</t>
  </si>
  <si>
    <t>Os Coiñas</t>
  </si>
  <si>
    <t>https://gsas.es/producto/base-de-datos-de-empresas-de-la-localidad-de-os-coinas-de-la-provincia-de-ourense-orense/</t>
  </si>
  <si>
    <t>Osuna</t>
  </si>
  <si>
    <t>https://gsas.es/producto/base-de-datos-de-empresas-de-la-localidad-de-osuna-en-la-provincia-de-sevilla/</t>
  </si>
  <si>
    <t>https://gsas.es/producto/base-de-datos-de-empresas-de-la-localidad-de-ourense-orense-de-la-provincia-de-ourense-orense/</t>
  </si>
  <si>
    <t>Oviedo</t>
  </si>
  <si>
    <t>https://gsas.es/producto/base-de-datos-de-empresas-de-la-localidad-de-oviedo-en-la-provincia-de-asturias/</t>
  </si>
  <si>
    <t>Padron</t>
  </si>
  <si>
    <t>Padul</t>
  </si>
  <si>
    <t>Paiporta</t>
  </si>
  <si>
    <t>Palafolls</t>
  </si>
  <si>
    <t>https://gsas.es/producto/base-de-datos-de-empresas-de-la-localidad-de-palafolls-en-la-provincia-de-barcelona/</t>
  </si>
  <si>
    <t>Palafrugell</t>
  </si>
  <si>
    <t>https://gsas.es/producto/base-de-datos-de-empresas-de-la-localidad-de-palafrugell-en-la-provincia-de-gerona-girona/</t>
  </si>
  <si>
    <t>Palamos</t>
  </si>
  <si>
    <t>https://gsas.es/producto/base-de-datos-de-empresas-de-la-localidad-de-palamos-en-la-provincia-de-gerona-girona/</t>
  </si>
  <si>
    <t>https://gsas.es/producto/base-de-datos-de-empresas-de-la-localidad-de-palau-solita-i-plegamans-en-la-provincia-de-barcelona/</t>
  </si>
  <si>
    <t>Palazuelos De Eresma</t>
  </si>
  <si>
    <t>https://gsas.es/producto/base-de-datos-de-empresas-de-la-localidad-de-palencia-en-la-provincia-de-palencia/</t>
  </si>
  <si>
    <t>Palleja</t>
  </si>
  <si>
    <t>https://gsas.es/producto/base-de-datos-de-empresas-de-la-localidad-de-palleja-en-la-provincia-de-barcelona/</t>
  </si>
  <si>
    <t>Palma De Mallorca</t>
  </si>
  <si>
    <t>https://gsas.es/producto/base-de-datos-de-empresas-de-la-localidad-de-palma-de-mallorca-en-la-provincia-de-islas-baleares-iles-balears/</t>
  </si>
  <si>
    <t>Palomares Del Rio</t>
  </si>
  <si>
    <t>https://gsas.es/producto/base-de-datos-de-empresas-de-la-localidad-de-palomares-del-rio-en-la-provincia-de-sevilla/</t>
  </si>
  <si>
    <t>Palos De La Frontera</t>
  </si>
  <si>
    <t>Pamplona</t>
  </si>
  <si>
    <t>https://gsas.es/producto/base-de-datos-de-empresas-de-la-localidad-de-pamplona-en-la-provincia-de-navarra/</t>
  </si>
  <si>
    <t>Paracuellos del Jarama</t>
  </si>
  <si>
    <t>https://gsas.es/producto/base-de-datos-de-empresas-de-la-localidad-de-paracuellos-del-jarama-en-la-provincia-de-madrid/</t>
  </si>
  <si>
    <t>Parcelas Plana</t>
  </si>
  <si>
    <t>Parla</t>
  </si>
  <si>
    <t>https://gsas.es/producto/base-de-datos-de-empresas-de-la-localidad-de-parla-en-la-provincia-de-madrid/</t>
  </si>
  <si>
    <t>Parque Industrial De Torrellano</t>
  </si>
  <si>
    <t>Pasai Antxo</t>
  </si>
  <si>
    <t>Peal De Becerro</t>
  </si>
  <si>
    <t>Pedro Muñoz</t>
  </si>
  <si>
    <t>Peñafiel</t>
  </si>
  <si>
    <t>Peñaranda De Bracamonte</t>
  </si>
  <si>
    <t>Peñiscola</t>
  </si>
  <si>
    <t>Peralta</t>
  </si>
  <si>
    <t>Petrer</t>
  </si>
  <si>
    <t>https://gsas.es/producto/base-de-datos-de-empresas-de-la-localidad-de-petrer-en-la-provincia-de-alicante-alacant/</t>
  </si>
  <si>
    <t>Picanya</t>
  </si>
  <si>
    <t>Pilar De La Horadada</t>
  </si>
  <si>
    <t>Pilas</t>
  </si>
  <si>
    <t>https://gsas.es/producto/base-de-datos-de-empresas-de-la-localidad-de-pilas-en-la-provincia-de-sevilla/</t>
  </si>
  <si>
    <t>Pineda De Mar</t>
  </si>
  <si>
    <t>https://gsas.es/producto/base-de-datos-de-empresas-de-la-localidad-de-pineda-de-mar-en-la-provincia-de-barcelona/</t>
  </si>
  <si>
    <t>Pinos Puente</t>
  </si>
  <si>
    <t>Pinoso</t>
  </si>
  <si>
    <t>Pinto</t>
  </si>
  <si>
    <t>https://gsas.es/producto/base-de-datos-de-empresas-de-la-localidad-de-pinto-en-la-provincia-de-madrid/</t>
  </si>
  <si>
    <t>Plasencia</t>
  </si>
  <si>
    <t>https://gsas.es/producto/base-de-datos-de-empresas-de-la-localidad-de-plasencia-en-la-provincia-de-caceres/</t>
  </si>
  <si>
    <t>Plataforma Logistica Plaza</t>
  </si>
  <si>
    <t>Platja Cala Llonga</t>
  </si>
  <si>
    <t>https://gsas.es/producto/base-de-datos-de-empresas-de-la-localidad-de-platja-cala-llonga-en-la-provincia-de-islas-baleares/</t>
  </si>
  <si>
    <t>Platja D Aiguablava</t>
  </si>
  <si>
    <t>Platja D Aro</t>
  </si>
  <si>
    <t>Platja Mitjorn</t>
  </si>
  <si>
    <t>https://gsas.es/producto/base-de-datos-de-empresas-de-la-localidad-de-platja-daro-en-la-provincia-de-gerona-girona/</t>
  </si>
  <si>
    <t>Playa De Almarda</t>
  </si>
  <si>
    <t>Playa De Los Cristianos</t>
  </si>
  <si>
    <t>https://gsas.es/producto/base-de-datos-de-empresas-de-la-localidad-de-playa-de-los-cristianos-en-la-provincia-de-tenerife/</t>
  </si>
  <si>
    <t>Playa De Mogan</t>
  </si>
  <si>
    <t>Playa Del Puig</t>
  </si>
  <si>
    <t>Playa Granada</t>
  </si>
  <si>
    <t>Pobra Do Caramiñal</t>
  </si>
  <si>
    <t>Poio (San Salvador)</t>
  </si>
  <si>
    <t>Pol. Ind. Cabezo Beaza</t>
  </si>
  <si>
    <t>Pol. Ind. Son Rossinyol</t>
  </si>
  <si>
    <t>https://gsas.es/producto/base-de-datos-de-empresas-de-la-localidad-de-pol-ind-son-rossinyol-en-la-provincia-de-islas-baleares/</t>
  </si>
  <si>
    <t>Pola De Lena</t>
  </si>
  <si>
    <t>Pola De Siero</t>
  </si>
  <si>
    <t>Poligono Industrial Juncaril (Peligros)</t>
  </si>
  <si>
    <t>Poligono Los Villares Reina</t>
  </si>
  <si>
    <t>Poligono Tres Caminos</t>
  </si>
  <si>
    <t>Polinya</t>
  </si>
  <si>
    <t>https://gsas.es/producto/base-de-datos-de-empresas-de-la-localidad-de-polinya-en-la-provincia-de-barcelona/</t>
  </si>
  <si>
    <t>Ponferrada</t>
  </si>
  <si>
    <t>https://gsas.es/producto/base-de-datos-de-empresas-de-la-localidad-de-ponferrada-en-la-provincia-de-leon/</t>
  </si>
  <si>
    <t>Pontedeume</t>
  </si>
  <si>
    <t>https://gsas.es/producto/base-de-datos-de-empresas-de-la-localidad-de-pontevedra-en-la-provincia-de-pontevedra/</t>
  </si>
  <si>
    <t>Porcuna</t>
  </si>
  <si>
    <t>Porreres</t>
  </si>
  <si>
    <t>https://gsas.es/producto/base-de-datos-de-empresas-de-la-localidad-de-porreres-en-la-provincia-de-islas-baleares/</t>
  </si>
  <si>
    <t>Port D Andratx</t>
  </si>
  <si>
    <t>https://gsas.es/producto/base-de-datos-de-empresas-de-la-localidad-de-port-d-andratx-en-la-provincia-de-islas-baleares/</t>
  </si>
  <si>
    <t>Portonovo (Adina)</t>
  </si>
  <si>
    <t>Portugalete</t>
  </si>
  <si>
    <t>https://gsas.es/producto/base-de-datos-de-empresas-de-la-localidad-de-portugalete-en-la-provincia-de-vizcaya-bizkaia/</t>
  </si>
  <si>
    <t>Potes</t>
  </si>
  <si>
    <t>Pozoblanco</t>
  </si>
  <si>
    <t>Pozuelo De Alarcon</t>
  </si>
  <si>
    <t>Pozuelo Del Rey</t>
  </si>
  <si>
    <t>https://gsas.es/producto/base-de-datos-de-empresas-de-la-localidad-de-pozuelo-de-alarcon-en-la-provincia-de-madrid/</t>
  </si>
  <si>
    <t>Prado Del Rey</t>
  </si>
  <si>
    <t>Pravia</t>
  </si>
  <si>
    <t>Premia De Dalt</t>
  </si>
  <si>
    <t>https://gsas.es/producto/base-de-datos-de-empresas-de-la-localidad-de-premia-de-dalt-en-la-provincia-de-barcelona/</t>
  </si>
  <si>
    <t>Premia De Mar</t>
  </si>
  <si>
    <t>https://gsas.es/producto/base-de-datos-de-empresas-de-la-localidad-de-premia-de-mar-en-la-provincia-de-barcelona/</t>
  </si>
  <si>
    <t>Puçol</t>
  </si>
  <si>
    <t>Puebla De La Calzada</t>
  </si>
  <si>
    <t>Puerto De La Cruz</t>
  </si>
  <si>
    <t>https://gsas.es/producto/base-de-datos-de-empresas-de-la-localidad-de-puerto-de-la-cruz-en-la-provincia-de-tenerife/</t>
  </si>
  <si>
    <t>Puerto De La Torre</t>
  </si>
  <si>
    <t>Puerto De Mazarron</t>
  </si>
  <si>
    <t>Puerto De Sagunto</t>
  </si>
  <si>
    <t>Puertollano</t>
  </si>
  <si>
    <t>https://gsas.es/producto/base-de-datos-de-empresas-de-la-localidad-de-puerto-llano-en-la-provincia-de-ciudad-real/</t>
  </si>
  <si>
    <t>Puigcerda</t>
  </si>
  <si>
    <t>https://gsas.es/producto/base-de-datos-de-empresas-de-la-localidad-de-puigcerda-en-la-provincia-de-gerona/</t>
  </si>
  <si>
    <t>Puigmolto</t>
  </si>
  <si>
    <t>https://gsas.es/producto/base-de-datos-de-empresas-de-la-localidad-de-puigmolto-en-la-provincia-de-barcelona/</t>
  </si>
  <si>
    <t>Pulianas</t>
  </si>
  <si>
    <t>Punta Umbria</t>
  </si>
  <si>
    <t>Quesada</t>
  </si>
  <si>
    <t>Quintanar De La Orden</t>
  </si>
  <si>
    <t>Rafelbuñol</t>
  </si>
  <si>
    <t>Realejo Alto</t>
  </si>
  <si>
    <t>Recajo</t>
  </si>
  <si>
    <t>Reco De Salou</t>
  </si>
  <si>
    <t>https://gsas.es/producto/base-de-datos-de-empresas-de-la-localidad-de-reco-de-salou-en-la-provincia-de-tarragona/</t>
  </si>
  <si>
    <t>Redondela</t>
  </si>
  <si>
    <t>Renedo De Pielagos</t>
  </si>
  <si>
    <t>Requena</t>
  </si>
  <si>
    <t>Residencial Can Carner</t>
  </si>
  <si>
    <t>https://gsas.es/producto/base-de-datos-de-empresas-de-la-localidad-de-residencial-can-carner-en-la-provincia-de-barcelona/</t>
  </si>
  <si>
    <t>Retamar</t>
  </si>
  <si>
    <t>Reus</t>
  </si>
  <si>
    <t>https://gsas.es/producto/base-de-datos-de-empresas-de-la-localidad-de-reus-en-la-provincia-de-tarragona/</t>
  </si>
  <si>
    <t>Ribadeo</t>
  </si>
  <si>
    <t>Ribadesella</t>
  </si>
  <si>
    <t>Rincon De La Victoria</t>
  </si>
  <si>
    <t>Ripollet</t>
  </si>
  <si>
    <t>https://gsas.es/producto/base-de-datos-de-empresas-de-la-localidad-de-ripollet-en-la-provincia-de-barcelona/</t>
  </si>
  <si>
    <t>Riudellots De La Selva</t>
  </si>
  <si>
    <t>Riudoms</t>
  </si>
  <si>
    <t>https://gsas.es/producto/base-de-datos-de-empresas-de-la-localidad-de-rivas-vaciamadrid-en-la-provincia-de-madrid/</t>
  </si>
  <si>
    <t>Rocamar (Sant Pere De Ribes)</t>
  </si>
  <si>
    <t>https://gsas.es/producto/base-de-datos-de-empresas-de-la-localidad-de-rocamar-sant-pere-de-ribes-en-la-provincia-de-barcelona/</t>
  </si>
  <si>
    <t>Rociana Del Condado</t>
  </si>
  <si>
    <t>Ronda</t>
  </si>
  <si>
    <t>Roquetes</t>
  </si>
  <si>
    <t>Rubi</t>
  </si>
  <si>
    <t>https://gsas.es/producto/base-de-datos-de-empresas-de-la-localidad-de-rubi-en-la-provincia-de-barcelona/</t>
  </si>
  <si>
    <t>S Aranjassa</t>
  </si>
  <si>
    <t>https://gsas.es/producto/base-de-datos-de-empresas-de-la-localidad-de-s-aranjassa-en-la-provincia-de-islas-baleares/</t>
  </si>
  <si>
    <t>S Arenal</t>
  </si>
  <si>
    <t>https://gsas.es/producto/base-de-datos-de-empresas-de-la-localidad-de-s-arenal-en-la-provincia-de-islas-baleares-iles-balears/</t>
  </si>
  <si>
    <t>S Horta (Soller)</t>
  </si>
  <si>
    <t>https://gsas.es/producto/base-de-datos-de-empresas-de-la-localidad-de-sa-creu-vermella-la-creu-vermella-en-la-provincia-de-islas-baleares/</t>
  </si>
  <si>
    <t>Sa Pobla</t>
  </si>
  <si>
    <t>https://gsas.es/producto/base-de-datos-de-empresas-de-la-localidad-de-sa-pobla-en-la-provincia-de-islas-baleares/</t>
  </si>
  <si>
    <t>Sabadell</t>
  </si>
  <si>
    <t>https://gsas.es/producto/base-de-datos-de-empresas-de-la-localidad-de-sabadell-en-la-provincia-de-barcelona/</t>
  </si>
  <si>
    <t>Sabiñanigo</t>
  </si>
  <si>
    <t>Sahagun</t>
  </si>
  <si>
    <t>https://gsas.es/producto/base-de-datos-de-empresas-de-la-localidad-de-salamanca-en-la-provincia-de-salamanca/</t>
  </si>
  <si>
    <t>Saldaña</t>
  </si>
  <si>
    <t>Salt</t>
  </si>
  <si>
    <t>https://gsas.es/producto/base-de-datos-de-empresas-de-la-localidad-de-salt-en-la-provincia-de-gerona-girona/</t>
  </si>
  <si>
    <t>Salteras</t>
  </si>
  <si>
    <t>https://gsas.es/producto/base-de-datos-de-empresas-de-la-localidad-de-salteras-en-la-provincia-de-sevilla/</t>
  </si>
  <si>
    <t>San Adrian</t>
  </si>
  <si>
    <t>San Agustin Del Guadalix</t>
  </si>
  <si>
    <t>San Antonio De Benageber</t>
  </si>
  <si>
    <t>https://gsas.es/producto/base-de-datos-de-empresas-de-la-localidad-de-san-bizenti-barakaldo-en-la-provincia-de-vizcaya-bizkaia/</t>
  </si>
  <si>
    <t>San Clemente</t>
  </si>
  <si>
    <t>San Cristobal De La Laguna</t>
  </si>
  <si>
    <t>https://gsas.es/producto/base-de-datos-de-empresas-de-la-localidad-de-san-cristobal-de-la-laguna-en-la-provincia-de-teneriferife-copia/</t>
  </si>
  <si>
    <t>San Fernando De Henares</t>
  </si>
  <si>
    <t>https://gsas.es/producto/base-de-datos-de-empresas-de-la-localidad-de-san-fernando-de-henares-en-la-provincia-de-madrid/</t>
  </si>
  <si>
    <t>San Francisco</t>
  </si>
  <si>
    <t>https://gsas.es/producto/base-de-datos-de-empresas-de-la-localidad-de-san-francisco-en-la-provincia-de-las-palmas/</t>
  </si>
  <si>
    <t>San Gines</t>
  </si>
  <si>
    <t>San Ildefonso O La Granja</t>
  </si>
  <si>
    <t>San Javier</t>
  </si>
  <si>
    <t>https://gsas.es/producto/base-de-datos-de-empresas-de-la-localidad-de-san-javier-en-la-provincia-de-murcia/</t>
  </si>
  <si>
    <t>San Juan De Aznalfarache</t>
  </si>
  <si>
    <t>https://gsas.es/producto/base-de-datos-de-empresas-de-la-localidad-de-san-juan-de-aznalfarache-en-la-provincia-de-sevilla/</t>
  </si>
  <si>
    <t>San Juan Del Puerto</t>
  </si>
  <si>
    <t>San Juan Mozarrifar</t>
  </si>
  <si>
    <t>San Lorenzo del Escorial</t>
  </si>
  <si>
    <t>https://gsas.es/producto/base-de-datos-de-empresas-de-la-localidad-de-san-lorenzo-de-el-escorial-en-la-provincia-de-madrid/</t>
  </si>
  <si>
    <t>San Martin de la Vega</t>
  </si>
  <si>
    <t>https://gsas.es/producto/base-de-datos-de-empresas-de-la-localidad-de-san-martin-de-la-vega-en-la-provincia-de-madrid/</t>
  </si>
  <si>
    <t>San Martin De Valdeiglesias</t>
  </si>
  <si>
    <t>https://gsas.es/producto/base-de-datos-de-empresas-de-la-localidad-de-san-martin-de-valdeiglesias-en-la-provincia-de-madrid/</t>
  </si>
  <si>
    <t>San Miguel De Abona</t>
  </si>
  <si>
    <t>San Roque</t>
  </si>
  <si>
    <t>San Sebastian De Los Reyes</t>
  </si>
  <si>
    <t>https://gsas.es/producto/base-de-datos-de-empresas-de-la-localidad-de-san-sebastian-de-los-reyes-en-la-provincia-de-madrid/</t>
  </si>
  <si>
    <t>San Sebastian Gomera</t>
  </si>
  <si>
    <t>San Vicente De Alcantara</t>
  </si>
  <si>
    <t>San Vicente De La Barquera</t>
  </si>
  <si>
    <t>Sangonera La Verde</t>
  </si>
  <si>
    <t>Sanlucar La Mayor</t>
  </si>
  <si>
    <t>https://gsas.es/producto/base-de-datos-de-empresas-de-la-localidad-de-sanlucar-la-mayor-en-la-provincia-de-sevilla/</t>
  </si>
  <si>
    <t>Sant Adria De Besos</t>
  </si>
  <si>
    <t>https://gsas.es/producto/base-de-datos-de-empresas-de-la-localidad-de-sant-adria-de-besos-en-la-provincia-de-barcelona/</t>
  </si>
  <si>
    <t>Sant Amanc</t>
  </si>
  <si>
    <t>https://gsas.es/producto/base-de-datos-de-empresas-de-la-localidad-de-sant-amant-en-la-provincia-de-gerona-girona/</t>
  </si>
  <si>
    <t>Sant Andreu De La Barca</t>
  </si>
  <si>
    <t>https://gsas.es/producto/base-de-datos-de-empresas-de-la-localidad-de-sant-andreu-de-la-barca-en-la-provincia-de-barcelona/</t>
  </si>
  <si>
    <t>Sant Andreu De Llavaneres</t>
  </si>
  <si>
    <t>https://gsas.es/producto/base-de-datos-de-empresas-de-la-localidad-de-sant-andreu-de-llavaneres-en-la-provincia-de-barcelona/</t>
  </si>
  <si>
    <t>Sant Antoni De Calonge</t>
  </si>
  <si>
    <t>Sant Boi De Llobregat</t>
  </si>
  <si>
    <t>https://gsas.es/producto/base-de-datos-de-empresas-de-la-localidad-de-sant-boi-de-llobregat-en-la-provincia-de-barcelona/</t>
  </si>
  <si>
    <t>Sant Carles De La Rapita</t>
  </si>
  <si>
    <t>https://gsas.es/producto/base-de-datos-de-empresas-de-la-localidad-de-sant-carles-de-la-rapita-en-la-provincia-de-tarragona/</t>
  </si>
  <si>
    <t>Sant Cugat Del Valles</t>
  </si>
  <si>
    <t>https://gsas.es/producto/base-de-datos-de-empresas-de-la-localidad-de-sant-cugat-del-valles-en-la-provincia-de-barcelona/</t>
  </si>
  <si>
    <t>Sant Esteve Sesrovires</t>
  </si>
  <si>
    <t>https://gsas.es/producto/base-de-datos-de-empresas-de-la-localidad-de-sant-esteve-sesrovires-en-la-provincia-de-barcelona/</t>
  </si>
  <si>
    <t>Sant Feliu De Llobregat</t>
  </si>
  <si>
    <t>https://gsas.es/producto/base-de-datos-de-empresas-de-la-localidad-de-sant-feliu-de-llobregat-en-la-provincia-de-barcelona/</t>
  </si>
  <si>
    <t>Sant Joan De Vilatorrada</t>
  </si>
  <si>
    <t>https://gsas.es/producto/base-de-datos-de-empresas-de-la-localidad-de-sant-joan-de-vilatorrada-en-la-provincia-de-barcelona/</t>
  </si>
  <si>
    <t>Sant Joan Despi</t>
  </si>
  <si>
    <t>https://gsas.es/producto/base-de-datos-de-empresas-de-la-localidad-de-sant-joan-despi-en-la-provincia-de-barcelona/</t>
  </si>
  <si>
    <t>Sant Josep De Sa Talaia (Cala Bassa)</t>
  </si>
  <si>
    <t>https://gsas.es/producto/base-de-datos-de-empresas-de-la-localidad-de-sant-josep-de-sa-talaia-en-la-provincia-de-islas-baleares/</t>
  </si>
  <si>
    <t>Sant Just Desvern</t>
  </si>
  <si>
    <t>https://gsas.es/producto/base-de-datos-de-empresas-de-la-localidad-de-sant-just-desvern-en-en-la-provincia-de-barcelona/</t>
  </si>
  <si>
    <t>Sant Quirze Del Valles</t>
  </si>
  <si>
    <t>https://gsas.es/producto/base-de-datos-de-empresas-de-la-localidad-de-sant-quirze-del-valles-en-la-provincia-de-barcelona/</t>
  </si>
  <si>
    <t>Sant Vicenç De Castellet</t>
  </si>
  <si>
    <t>https://gsas.es/producto/base-de-datos-de-empresas-de-la-localidad-de-sant-vicenc-de-castellet-en-la-provincia-de-barcelona/</t>
  </si>
  <si>
    <t>Sant Vicenç Dels Horts</t>
  </si>
  <si>
    <t>https://gsas.es/producto/base-de-datos-de-empresas-de-la-localidad-de-sant-vicenc-dels-horts-en-la-provincia-de-barcelona/</t>
  </si>
  <si>
    <t>Santa Coloma De Farners</t>
  </si>
  <si>
    <t>Santa Coloma De Gramanet</t>
  </si>
  <si>
    <t>https://gsas.es/producto/base-de-datos-de-empresas-de-la-localidad-de-santa-coloma-de-gramanet-en-la-provincia-de-barcelona/</t>
  </si>
  <si>
    <t>Santa Cruz De Bezana</t>
  </si>
  <si>
    <t>Santa Eularia Des Riu</t>
  </si>
  <si>
    <t>https://gsas.es/producto/base-de-datos-de-empresas-de-la-localidad-de-santa-eularia-des-riu-en-la-provincia-de-islas-baleares-iles-balears/</t>
  </si>
  <si>
    <t>Santa Gertrudis De Fruitera</t>
  </si>
  <si>
    <t>https://gsas.es/producto/base-de-datos-de-empresas-de-la-localidad-de-santa-gertrudis-de-fruitera-en-la-provincia-de-islas-baleares/</t>
  </si>
  <si>
    <t>Santa Magdalena</t>
  </si>
  <si>
    <t>https://gsas.es/producto/base-de-datos-de-empresas-de-la-localidad-de-santa-magdalena-en-la-provincia-de-lerida-lleida/</t>
  </si>
  <si>
    <t>Santa Maria Del Cami (Isla De Mallorca)</t>
  </si>
  <si>
    <t>https://gsas.es/producto/base-de-datos-de-empresas-de-la-localidad-de-santa-maria-del-cami-en-la-provincia-de-islas-baleares/</t>
  </si>
  <si>
    <t>Santa Maria Del Paramo</t>
  </si>
  <si>
    <t>Santa Marta De Tormes</t>
  </si>
  <si>
    <t>Santafe</t>
  </si>
  <si>
    <t>Santander</t>
  </si>
  <si>
    <t>https://gsas.es/producto/base-de-datos-de-empresas-de-la-localidad-de-santander-en-la-provincia-de-cantabria/</t>
  </si>
  <si>
    <t>Santa Ponca</t>
  </si>
  <si>
    <t>https://gsas.es/producto/base-de-datos-de-empresas-de-la-localidad-de-santa-ponca-en-la-provincia-de-islas-baleares-iles-balears/</t>
  </si>
  <si>
    <t>Santiago De Compostela</t>
  </si>
  <si>
    <t>https://gsas.es/producto/base-de-datos-de-empresas-de-la-localidad-de-santiago-de-compostela-de-la-provincia-de-la-coruna/</t>
  </si>
  <si>
    <t>Santillana Del Mar</t>
  </si>
  <si>
    <t>Santiponce</t>
  </si>
  <si>
    <t>https://gsas.es/producto/base-de-datos-de-empresas-de-la-localidad-de-santiponce-en-la-provincia-de-sevilla/</t>
  </si>
  <si>
    <t>Santo Domingo De La Calzada</t>
  </si>
  <si>
    <t>https://gsas.es/producto/base-de-datos-de-empresas-de-la-localidad-de-santo-domingo-de-la-calzada-en-la-provincia-de-la-rioja/</t>
  </si>
  <si>
    <t>Santomera</t>
  </si>
  <si>
    <t>Santoña</t>
  </si>
  <si>
    <t>Santovenia De Pisuerga</t>
  </si>
  <si>
    <t>Sanxenxo</t>
  </si>
  <si>
    <t>Sariñena</t>
  </si>
  <si>
    <t>Saron</t>
  </si>
  <si>
    <t>Sarria</t>
  </si>
  <si>
    <t>Sarria De Dalt</t>
  </si>
  <si>
    <t>Sarriguren</t>
  </si>
  <si>
    <t>Sax</t>
  </si>
  <si>
    <t>Segorbe</t>
  </si>
  <si>
    <t>https://gsas.es/producto/base-de-datos-de-empresas-de-la-localidad-de-segovia-en-la-provincia-de-segovia/</t>
  </si>
  <si>
    <t>Segur De Calafell</t>
  </si>
  <si>
    <t>Sentmenat</t>
  </si>
  <si>
    <t>https://gsas.es/producto/base-de-datos-de-empresas-de-la-localidad-de-sentmenat-en-la-provincia-de-barcelona/</t>
  </si>
  <si>
    <t>Seseña Nuevo</t>
  </si>
  <si>
    <t>Seseña Viejo</t>
  </si>
  <si>
    <t>Sestao</t>
  </si>
  <si>
    <t>https://gsas.es/producto/base-de-datos-de-empresas-de-la-localidad-de-sestao-en-la-provincia-de-vizcaya-bizkaia/</t>
  </si>
  <si>
    <t>Setenil De Las Bodegas</t>
  </si>
  <si>
    <t>https://gsas.es/producto/base-de-datos-de-empresas-de-la-localidad-de-sevilla-en-la-provincia-de-sevilla/</t>
  </si>
  <si>
    <t>Sevilla La Nueva</t>
  </si>
  <si>
    <t>https://gsas.es/producto/base-de-datos-de-empresas-de-la-localidad-de-sevilla-de-la-provincia-de-sevilla/</t>
  </si>
  <si>
    <t>Sierra Nevada</t>
  </si>
  <si>
    <t>Silla</t>
  </si>
  <si>
    <t>Sineu</t>
  </si>
  <si>
    <t>https://gsas.es/producto/base-de-datos-de-empresas-de-la-localidad-de-sineu-en-la-provincia-de-islas-baleares/</t>
  </si>
  <si>
    <t>Socuellamos</t>
  </si>
  <si>
    <t>Solares</t>
  </si>
  <si>
    <t>Son Servera</t>
  </si>
  <si>
    <t>https://gsas.es/producto/base-de-datos-de-empresas-de-la-localidad-de-son-servera-en-la-provincia-de-islas-baleares/</t>
  </si>
  <si>
    <t>Sonseca</t>
  </si>
  <si>
    <t>https://gsas.es/producto/base-de-datos-de-empresas-de-la-localidad-de-soria-en-la-provincia-de-soria/</t>
  </si>
  <si>
    <t>Sort</t>
  </si>
  <si>
    <t>Soto del Real</t>
  </si>
  <si>
    <t>https://gsas.es/producto/base-de-datos-de-empresas-de-la-localidad-de-soto-del-real-en-la-provincia-de-madrid/</t>
  </si>
  <si>
    <t>Sotogrande</t>
  </si>
  <si>
    <t>Suances</t>
  </si>
  <si>
    <t>Sueca</t>
  </si>
  <si>
    <t>Tafalla</t>
  </si>
  <si>
    <t>Talavera De La Reina</t>
  </si>
  <si>
    <t>https://gsas.es/producto/base-de-datos-de-empresas-de-la-localidad-de-talavera-de-la-reina-en-la-provincia-de-toledo</t>
  </si>
  <si>
    <t>Talavera La Real</t>
  </si>
  <si>
    <t>Talayuela</t>
  </si>
  <si>
    <t>Tarancon</t>
  </si>
  <si>
    <t>Tarazona</t>
  </si>
  <si>
    <t>https://gsas.es/producto/base-de-datos-de-empresas-de-la-localidad-de-tarragona-en-la-provincia-de-tarragona/</t>
  </si>
  <si>
    <t>Tarrasa</t>
  </si>
  <si>
    <t>https://gsas.es/producto/base-de-datos-de-empresas-de-la-localidad-de-tarrasa-en-la-provincia-de-barcelona/</t>
  </si>
  <si>
    <t>Tarrega</t>
  </si>
  <si>
    <t>https://gsas.es/producto/base-de-datos-de-empresas-de-la-localidad-de-tarrega-en-la-provincia-de-lerida-lleida/</t>
  </si>
  <si>
    <t>Tauste</t>
  </si>
  <si>
    <t>Tavernes De La Valldigna</t>
  </si>
  <si>
    <t>Teguise</t>
  </si>
  <si>
    <t>https://gsas.es/producto/base-de-datos-de-empresas-de-la-localidad-de-tenerife-en-la-provincia-de-tenerife/</t>
  </si>
  <si>
    <t>https://gsas.es/producto/base-de-datos-de-empresas-de-la-localidad-de-teruel-en-la-provincia-de-teruel/</t>
  </si>
  <si>
    <t>Tobarra</t>
  </si>
  <si>
    <t>https://gsas.es/producto/base-de-datos-de-empresas-de-la-localidad-de-toledo-en-la-provincia-de-toledo/</t>
  </si>
  <si>
    <t xml:space="preserve">Tolls, </t>
  </si>
  <si>
    <t>Tomares</t>
  </si>
  <si>
    <t>https://gsas.es/producto/base-de-datos-de-empresas-de-la-localidad-de-tomares-en-la-provincia-de-sevilla/</t>
  </si>
  <si>
    <t>Tomelloso</t>
  </si>
  <si>
    <t>https://gsas.es/producto/base-de-datos-de-empresas-de-la-localidad-de-tomelloso-en-la-provincia-de-ciudad-real/</t>
  </si>
  <si>
    <t>Tona</t>
  </si>
  <si>
    <t>https://gsas.es/producto/base-de-datos-de-empresas-de-la-localidad-de-tona-en-la-provincia-de-barcelona/</t>
  </si>
  <si>
    <t>Tordera</t>
  </si>
  <si>
    <t>https://gsas.es/producto/base-de-datos-de-empresas-de-la-localidad-de-tordera-en-la-provincia-de-barcelona/</t>
  </si>
  <si>
    <t>Tordesillas</t>
  </si>
  <si>
    <t>Torello</t>
  </si>
  <si>
    <t>https://gsas.es/producto/base-de-datos-de-empresas-de-la-localidad-de-torello-en-la-provincia-de-barcelona/</t>
  </si>
  <si>
    <t>Toro</t>
  </si>
  <si>
    <t>Torre Del Campo</t>
  </si>
  <si>
    <t>Torre Del Mar</t>
  </si>
  <si>
    <t>Torreaguera</t>
  </si>
  <si>
    <t>Torreblanca</t>
  </si>
  <si>
    <t>Torrebonica</t>
  </si>
  <si>
    <t>https://gsas.es/producto/base-de-datos-de-empresas-de-la-localidad-de-torrebonica-en-la-provincia-de-barcelona/</t>
  </si>
  <si>
    <t>Torredembarra</t>
  </si>
  <si>
    <t>https://gsas.es/producto/base-de-datos-de-empresas-de-la-localidad-de-torredembarra-en-la-provincia-de-tarragona/</t>
  </si>
  <si>
    <t>Torredonjimeno</t>
  </si>
  <si>
    <t>Torrefarrera</t>
  </si>
  <si>
    <t>Torrejon de Ardoz</t>
  </si>
  <si>
    <t>https://gsas.es/producto/base-de-datos-de-empresas-de-la-localidad-de-torrejon-de-ardozl-en-la-provincia-de-madrid/</t>
  </si>
  <si>
    <t>Torrejon De La Calzada</t>
  </si>
  <si>
    <t>https://gsas.es/producto/base-de-datos-de-empresas-de-la-localidad-de-torrejon-de-la-calzada-en-la-provincia-de-madrid/</t>
  </si>
  <si>
    <t>Torrelavega</t>
  </si>
  <si>
    <t>https://gsas.es/producto/base-de-datos-de-empresas-de-la-localidad-de-torrelavega-en-la-provincia-de-cantabria-copia/</t>
  </si>
  <si>
    <t>Torrellano</t>
  </si>
  <si>
    <t>Torremolinos</t>
  </si>
  <si>
    <t>https://gsas.es/producto/base-de-datos-de-empresas-de-la-localidad-de-torremolinos-en-la-provincia-de-malaga/</t>
  </si>
  <si>
    <t>Torreperogil</t>
  </si>
  <si>
    <t>Torrevieja</t>
  </si>
  <si>
    <t>https://gsas.es/producto/base-de-datos-de-empresas-de-la-localidad-de-torreviejaen-la-provincia-de-alicante-alacant/</t>
  </si>
  <si>
    <t>Torrijos</t>
  </si>
  <si>
    <t>Torrox</t>
  </si>
  <si>
    <t>Totana</t>
  </si>
  <si>
    <t>https://gsas.es/producto/base-de-datos-de-empresas-de-la-localidad-de-totana-en-la-provincia-de-murcia/</t>
  </si>
  <si>
    <t>Trebujena</t>
  </si>
  <si>
    <t>Tremp</t>
  </si>
  <si>
    <t>Tres Cantos</t>
  </si>
  <si>
    <t>https://gsas.es/producto/base-de-datos-de-empresas-de-la-localidad-de-tres-cantos-en-la-provincia-de-madrid/</t>
  </si>
  <si>
    <t>Trigueros</t>
  </si>
  <si>
    <t>Trujillo</t>
  </si>
  <si>
    <t>Tudela</t>
  </si>
  <si>
    <t>https://gsas.es/producto/base-de-datos-de-empresas-de-la-localidad-de-tudela-en-la-provincia-de-navarra/</t>
  </si>
  <si>
    <t xml:space="preserve">Tui </t>
  </si>
  <si>
    <t>Ubeda</t>
  </si>
  <si>
    <t>https://gsas.es/producto/base-de-datos-de-empresas-de-la-localidad-de-ubeda-en-la-provincia-de-jaen/</t>
  </si>
  <si>
    <t>Ubrique</t>
  </si>
  <si>
    <t>Ulldecona</t>
  </si>
  <si>
    <t>Umbrete</t>
  </si>
  <si>
    <t>https://gsas.es/producto/base-de-datos-de-empresas-de-la-localidad-de-umbrete-en-la-provincia-de-sevilla/</t>
  </si>
  <si>
    <t>Urnieta</t>
  </si>
  <si>
    <t>Urretxu</t>
  </si>
  <si>
    <t>Utebo</t>
  </si>
  <si>
    <t>Valdemorillo</t>
  </si>
  <si>
    <t>https://gsas.es/producto/base-de-datos-de-empresas-de-la-localidad-de-valdemorillo-en-la-provincia-de-madrid/</t>
  </si>
  <si>
    <t>Valdemoro</t>
  </si>
  <si>
    <t>https://gsas.es/producto/base-de-datos-de-empresas-de-la-localidad-de-valdemoro-en-la-provincia-de-madrid/</t>
  </si>
  <si>
    <t>Valdepeñas</t>
  </si>
  <si>
    <t>https://gsas.es/producto/base-de-datos-de-empresas-de-la-localidad-de-valdepenas-en-la-provincia-de-ciudad-real/</t>
  </si>
  <si>
    <t>Valderrobres</t>
  </si>
  <si>
    <t>https://gsas.es/producto/base-de-datos-de-empresas-de-la-localidad-de-valencia-en-la-provincia-de-valencia/</t>
  </si>
  <si>
    <t>Valencia De Alcantara</t>
  </si>
  <si>
    <t>Valencia De Don Juan</t>
  </si>
  <si>
    <t>Valencina De La Concepcion</t>
  </si>
  <si>
    <t>https://gsas.es/producto/base-de-datos-de-empresas-de-la-localidad-de-valencina-de-la-concepcion-en-la-provincia-de-sevilla/</t>
  </si>
  <si>
    <t>Valenza</t>
  </si>
  <si>
    <t>https://gsas.es/producto/base-de-datos-de-empresas-de-la-localidad-de-valenza-de-la-provincia-de-ourense-orense/</t>
  </si>
  <si>
    <t>https://gsas.es/producto/base-de-datos-de-empresas-de-la-localidad-de-valladolid-en-la-provincia-de-valladolid/</t>
  </si>
  <si>
    <t>Vallirana</t>
  </si>
  <si>
    <t>https://gsas.es/producto/base-de-datos-de-empresas-de-la-localidad-de-vallirana-en-la-provincia-de-barcelona/</t>
  </si>
  <si>
    <t>Valls</t>
  </si>
  <si>
    <t>https://gsas.es/producto/base-de-datos-de-empresas-de-la-localidad-de-valls-en-la-provincia-de-tarragona/</t>
  </si>
  <si>
    <t>Vegadeo</t>
  </si>
  <si>
    <t>Velilla De San Antonio</t>
  </si>
  <si>
    <t>https://gsas.es/producto/base-de-datos-de-empresas-de-la-localidad-de-velilla-de-san-antonio-en-la-provincia-de-madrid/</t>
  </si>
  <si>
    <t>Vera</t>
  </si>
  <si>
    <t>Vic</t>
  </si>
  <si>
    <t>https://gsas.es/producto/base-de-datos-de-empresas-de-la-localidad-de-vic-en-la-provincia-de-barcelona/</t>
  </si>
  <si>
    <t>Vidreres</t>
  </si>
  <si>
    <t>Vigo</t>
  </si>
  <si>
    <t>https://gsas.es/producto/base-de-datos-de-empresas-de-la-localidad-de-vigo-en-la-provincia-de-pontevedra/</t>
  </si>
  <si>
    <t>https://gsas.es/producto/base-de-datos-de-empresas-de-la-localidad-de-vila-real-villareal-en-la-provincia-de-castellon/</t>
  </si>
  <si>
    <t>Viladecans</t>
  </si>
  <si>
    <t>https://gsas.es/producto/base-de-datos-de-empresas-de-la-localidad-de-viladecans-en-la-provincia-de-barcelona/</t>
  </si>
  <si>
    <t>Viladordis</t>
  </si>
  <si>
    <t>https://gsas.es/producto/base-de-datos-de-empresas-de-la-localidad-de-viladordis-en-la-provincia-de-barcelona/</t>
  </si>
  <si>
    <t>Vilafant</t>
  </si>
  <si>
    <t>Vilalba</t>
  </si>
  <si>
    <t>Vilamarxant</t>
  </si>
  <si>
    <t>Vilanova Del Cami</t>
  </si>
  <si>
    <t>https://gsas.es/producto/base-de-datos-de-empresas-de-la-localidad-de-vilanova-del-cami-en-la-provincia-de-barcelona/</t>
  </si>
  <si>
    <t>Vilanova I La Geltru</t>
  </si>
  <si>
    <t>https://gsas.es/producto/base-de-datos-de-empresas-de-la-localidad-de-vilanova-i-la-geltru-en-la-provincia-de-barcelona/</t>
  </si>
  <si>
    <t>Vilassar De Dalt</t>
  </si>
  <si>
    <t>https://gsas.es/producto/base-de-datos-de-empresas-de-la-localidad-de-vilassar-de-dalt-del-cami-en-la-provincia-de-barcelona/</t>
  </si>
  <si>
    <t>Vilassar De Mar</t>
  </si>
  <si>
    <t>https://gsas.es/producto/base-de-datos-de-empresas-de-la-localidad-de-vilasar-de-mar-en-la-provincia-de-barcelona/</t>
  </si>
  <si>
    <t>Villablino</t>
  </si>
  <si>
    <t>Villacañas</t>
  </si>
  <si>
    <t>Villafranca De Los Barros</t>
  </si>
  <si>
    <t>Villafranca Del Bierzo</t>
  </si>
  <si>
    <t>Villalvilla</t>
  </si>
  <si>
    <t>https://gsas.es/producto/base-de-datos-de-empresas-de-la-localidad-de-villalvilla-en-la-provincia-de-madrid/</t>
  </si>
  <si>
    <t>Villanueva De Castellon</t>
  </si>
  <si>
    <t>Villanueva De Cordoba</t>
  </si>
  <si>
    <t>Villanueva de la Cañada</t>
  </si>
  <si>
    <t>https://gsas.es/producto/base-de-datos-de-empresas-de-la-localidad-de-villanueva-de-la-canada-en-la-provincia-de-madrid/</t>
  </si>
  <si>
    <t>Villanueva De La Serena</t>
  </si>
  <si>
    <t>https://gsas.es/producto/base-de-datos-de-empresas-de-la-localidad-de-villanueva-de-la-serena-en-la-provincia-de-badajoz/</t>
  </si>
  <si>
    <t>Villanueva De Los Infantes</t>
  </si>
  <si>
    <t>Villanueva Del Arzobispo</t>
  </si>
  <si>
    <t>Villanueva del Pardillo</t>
  </si>
  <si>
    <t>https://gsas.es/producto/base-de-datos-de-empresas-de-la-localidad-de-villanueva-del-pardillo-en-la-provincia-de-madrid/</t>
  </si>
  <si>
    <t>Villanueva Del Trabuco</t>
  </si>
  <si>
    <t>Villarcayo</t>
  </si>
  <si>
    <t>Villarejo De Salvanes</t>
  </si>
  <si>
    <t>https://gsas.es/producto/base-de-datos-de-empresas-de-la-localidad-de-villarejo-de-salvanes-en-la-provincia-de-madrid/</t>
  </si>
  <si>
    <t>Villarrobledo</t>
  </si>
  <si>
    <t>https://gsas.es/producto/base-de-datos-de-empresas-de-la-localidad-de-villarrobledo-en-la-provincia-de-albacete/</t>
  </si>
  <si>
    <t>Villarrubia De Los Ojos</t>
  </si>
  <si>
    <t>Villena</t>
  </si>
  <si>
    <t>https://gsas.es/producto/base-de-datos-de-empresas-de-la-localidad-de-villena-en-la-provincia-de-alicante-alacant/</t>
  </si>
  <si>
    <t>Vinaros</t>
  </si>
  <si>
    <t>https://gsas.es/producto/base-de-datos-de-empresas-de-la-localidad-de-vitoria-gastegiz-en-la-provincia-de-alava-araba/</t>
  </si>
  <si>
    <t>Xeraco</t>
  </si>
  <si>
    <t>Xinzo De Limia</t>
  </si>
  <si>
    <t>Xirivella</t>
  </si>
  <si>
    <t>Yecla</t>
  </si>
  <si>
    <t>https://gsas.es/producto/base-de-datos-de-empresas-de-la-localidad-de-yecla-en-la-provincia-de-murcia/</t>
  </si>
  <si>
    <t>Yuncos</t>
  </si>
  <si>
    <t>Zafra</t>
  </si>
  <si>
    <t>https://gsas.es/producto/base-de-datos-de-empresas-de-la-localidad-de-zafra-en-la-provincia-de-badajoz/</t>
  </si>
  <si>
    <t>https://gsas.es/producto/base-de-datos-de-empresas-de-la-localidad-de-zamora-en-la-provincia-de-zamora/</t>
  </si>
  <si>
    <t>https://gsas.es/producto/base-de-datos-de-empresas-de-la-localidad-de-zaragoza-de-la-provincia-de-zaragoza/</t>
  </si>
  <si>
    <t>Zaratan</t>
  </si>
  <si>
    <t>Zizur Mayor - Zizur Nagusia</t>
  </si>
  <si>
    <t>Zuera</t>
  </si>
  <si>
    <t>Zumaia</t>
  </si>
  <si>
    <t>islas baleares</t>
  </si>
  <si>
    <t>A Coruña - La Coruña</t>
  </si>
  <si>
    <t>Agras (Nosa Señora Dos Desamparados De Xubia - Naron)</t>
  </si>
  <si>
    <t>Alto Del Castaño (San Xose Obreiro De Xubia - Naron)</t>
  </si>
  <si>
    <t>Balado (Santa Maria De Ordes - Ordes)</t>
  </si>
  <si>
    <t>Barral (Santa Comba De Rianxo - Rianxo)</t>
  </si>
  <si>
    <t>Barreira (Santa Maria De Toras - Laracha)</t>
  </si>
  <si>
    <t>Bentin (Santa Maria De Biduido - Ames)</t>
  </si>
  <si>
    <t>Braña (San Salvador De Erbecedo - Coristanco)</t>
  </si>
  <si>
    <t>Calo (San Xoan - Vimianzo)</t>
  </si>
  <si>
    <t>Casillas (Santa Maria De Ordes - Ordes)</t>
  </si>
  <si>
    <t>Choupana (Santaia De Lians - Oleiros)</t>
  </si>
  <si>
    <t>Pazo Do Rio (Santaia De Lians - Oleiros)</t>
  </si>
  <si>
    <t>Randufe (San Pedro De Santa Comba - Santa Comba)</t>
  </si>
  <si>
    <t>Laudio - Llodio</t>
  </si>
  <si>
    <t>Vitoria - Gasteiz</t>
  </si>
  <si>
    <t>Casas - Ibañez</t>
  </si>
  <si>
    <t>Alcoi - Alcoy</t>
  </si>
  <si>
    <t>Alicante - Alacant</t>
  </si>
  <si>
    <t>Elche - Elx</t>
  </si>
  <si>
    <t>Xalo - Jalon</t>
  </si>
  <si>
    <t>Palau - Solita I Plegamans</t>
  </si>
  <si>
    <t>Benalup - Casas Viejas</t>
  </si>
  <si>
    <t>Almassora - Almazora</t>
  </si>
  <si>
    <t>El Grau De Castello - El Grao</t>
  </si>
  <si>
    <t>Oropesa - Oropesa Del Mar</t>
  </si>
  <si>
    <t>Vila - Real - Villarreal</t>
  </si>
  <si>
    <t>Fernan - Nuñez</t>
  </si>
  <si>
    <t>Peñarroya - Pueblonuevo</t>
  </si>
  <si>
    <t>Gerona - Girona</t>
  </si>
  <si>
    <t>Mont - Ras</t>
  </si>
  <si>
    <t>La Caleta - Guardia</t>
  </si>
  <si>
    <t>San Sebastian - Donostia</t>
  </si>
  <si>
    <t>Cala Anguila - Cala Mendia</t>
  </si>
  <si>
    <t>Sa Creu Vermella - La Creu Vermella</t>
  </si>
  <si>
    <t>Lerida - Lleida</t>
  </si>
  <si>
    <t>Vielha - Viella</t>
  </si>
  <si>
    <t>Rivas - Vaciamadrid</t>
  </si>
  <si>
    <t>Ourense - Orense</t>
  </si>
  <si>
    <t>Mont - Roig Del Camp</t>
  </si>
  <si>
    <t>Vila - Seca</t>
  </si>
  <si>
    <t>Mogente - Moixent</t>
  </si>
  <si>
    <t>Riba - Roja De Turia</t>
  </si>
  <si>
    <t>Sagunt - Sagunto</t>
  </si>
  <si>
    <t>Agirre - Aperribai</t>
  </si>
  <si>
    <t>Berrio - Aldape</t>
  </si>
  <si>
    <t>Markina - Xemein</t>
  </si>
  <si>
    <t>San Bizenti - Barakaldo</t>
  </si>
  <si>
    <t>Alicante - Alicante</t>
  </si>
  <si>
    <t>A Brea,  (Carballo)</t>
  </si>
  <si>
    <t>Feans (Elviña - A Coruña)</t>
  </si>
  <si>
    <t>Almafra</t>
  </si>
  <si>
    <t>Alquebla</t>
  </si>
  <si>
    <t>Baladrar</t>
  </si>
  <si>
    <t>Benimarco</t>
  </si>
  <si>
    <t>Figueretes</t>
  </si>
  <si>
    <t>Almajal</t>
  </si>
  <si>
    <t>Aixihuili</t>
  </si>
  <si>
    <t>Los Chapaprietas</t>
  </si>
  <si>
    <t xml:space="preserve">Abejorreras </t>
  </si>
  <si>
    <t xml:space="preserve">Campiñuela Baja </t>
  </si>
  <si>
    <t xml:space="preserve">El Arenal </t>
  </si>
  <si>
    <t xml:space="preserve">Hospital Los Morales </t>
  </si>
  <si>
    <t>Gerona - Gerona</t>
  </si>
  <si>
    <t>Can Cirer</t>
  </si>
  <si>
    <t>Can Picafort</t>
  </si>
  <si>
    <t xml:space="preserve">Cala Blanca Ciutadella De Menorca </t>
  </si>
  <si>
    <t>Galatzo Santa Ponça</t>
  </si>
  <si>
    <t>El Espinar</t>
  </si>
  <si>
    <t>Adeje</t>
  </si>
  <si>
    <t>https://gsas.es/producto/base-de-datos-de-empresas-de-la-localidad-de-zizur-mayor-zizur-nagusia-en-la-provincia-de-navarra/</t>
  </si>
  <si>
    <t>https://gsas.es/producto/base-de-datos-de-empresas-de-la-localidad-de-tafalla-en-la-provincia-de-navarra/</t>
  </si>
  <si>
    <t>https://gsas.es/producto/base-de-datos-de-empresas-de-la-localidad-de-sarriguren-en-la-provincia-de-navarra/</t>
  </si>
  <si>
    <t>https://gsas.es/producto/base-de-datos-de-empresas-de-la-localidad-de-san-adrian-en-la-provincia-de-navarra/</t>
  </si>
  <si>
    <t>https://gsas.es/producto/base-de-datos-de-empresas-de-la-localidad-de-recajo-en-la-provincia-de-navarra/</t>
  </si>
  <si>
    <t>https://gsas.es/producto/base-de-datos-de-empresas-de-la-localidad-de-peralta-en-la-provincia-de-navarra/</t>
  </si>
  <si>
    <t>https://gsas.es/producto/base-de-datos-de-empresas-de-la-localidad-de-orkoien-en-la-provincia-de-navarra/</t>
  </si>
  <si>
    <t>https://gsas.es/producto/base-de-datos-de-empresas-de-la-localidad-de-olite-en-la-provincia-de-navarra/</t>
  </si>
  <si>
    <t>https://gsas.es/producto/base-de-datos-de-empresas-de-la-localidad-de-mendillorri-en-la-provincia-de-navarra/</t>
  </si>
  <si>
    <t>https://gsas.es/producto/base-de-datos-de-empresas-de-la-localidad-de-lodosa-en-la-provincia-de-navarra/</t>
  </si>
  <si>
    <t>https://gsas.es/producto/base-de-datos-de-empresas-de-la-localidad-de-gorraiz-en-la-provincia-de-navarra/</t>
  </si>
  <si>
    <t>https://gsas.es/producto/base-de-datos-de-empresas-de-la-localidad-de-corella-en-la-provincia-de-navarra/</t>
  </si>
  <si>
    <t>https://gsas.es/producto/base-de-datos-de-empresas-de-la-localidad-de-cintruenigo-en-la-provincia-de-navarra/</t>
  </si>
  <si>
    <t>https://gsas.es/producto/base-de-datos-de-empresas-de-la-localidad-de-bera-vera-de-bidasoa-en-la-provincia-de-navarra/</t>
  </si>
  <si>
    <t>https://gsas.es/producto/base-de-datos-de-empresas-de-la-localidad-de-atarrabia-en-la-provincia-de-navarra/</t>
  </si>
  <si>
    <t>https://gsas.es/producto/base-de-datos-de-empresas-de-la-localidad-de-antzanborda-en-la-provincia-de-navarra/</t>
  </si>
  <si>
    <t>https://gsas.es/producto/base-de-datos-de-empresas-de-la-localidad-de-altsasu-alsasua-en-la-provincia-de-navarra/</t>
  </si>
  <si>
    <t>https://gsas.es/producto/base-de-datos-de-empresas-de-la-localidad-de-aizoain-en-la-provincia-de-navarra/</t>
  </si>
  <si>
    <t>https://gsas.es/producto/base-de-datos-de-empresas-de-la-localidad-de-saldana-en-la-provincia-de-palencia/</t>
  </si>
  <si>
    <t>https://gsas.es/producto/base-de-datos-de-empresas-de-la-localidad-de-guardo-en-la-provincia-de-palencia/</t>
  </si>
  <si>
    <t>https://gsas.es/producto/base-de-datos-de-empresas-de-la-localidad-de-carrion-de-los-condes-en-la-provincia-de-palencia/</t>
  </si>
  <si>
    <t>https://gsas.es/producto/base-de-datos-de-empresas-de-la-localidad-de-calabazanos-en-la-provincia-de-palencia/</t>
  </si>
  <si>
    <t>https://gsas.es/producto/base-de-datos-de-empresas-de-la-localidad-de-banos-de-cerrato-en-la-provincia-de-palencia/</t>
  </si>
  <si>
    <t>https://gsas.es/producto/base-de-datos-de-empresas-de-la-localidad-de-aguilar-de-campoo-en-la-provincia-de-palencia/</t>
  </si>
  <si>
    <t>https://gsas.es/producto/base-de-datos-de-empresas-de-la-localidad-de-el-burgo-de-osma-en-la-provincia-de-soria/</t>
  </si>
  <si>
    <t>https://gsas.es/producto/base-de-datos-de-empresas-de-la-localidad-de-almazan-en-la-provincia-de-soria/</t>
  </si>
  <si>
    <t>https://gsas.es/producto/base-de-datos-de-empresas-de-la-localidad-de-yuncos-en-la-provincia-de-toledo/</t>
  </si>
  <si>
    <t>https://gsas.es/producto/base-de-datos-de-empresas-de-la-localidad-de-villacanas-en-la-provincia-de-toledo/</t>
  </si>
  <si>
    <t>https://gsas.es/producto/base-de-datos-de-empresas-de-la-localidad-de-torrijos-en-la-provincia-de-toledo/</t>
  </si>
  <si>
    <t>https://gsas.es/producto/base-de-datos-de-empresas-de-la-localidad-de-sonseca-en-la-provincia-de-toledo/</t>
  </si>
  <si>
    <t>https://gsas.es/producto/base-de-datos-de-empresas-de-la-localidad-de-sesena-viejo-en-la-provincia-de-toledo/</t>
  </si>
  <si>
    <t>https://gsas.es/producto/base-de-datos-de-empresas-de-la-localidad-de-sesena-nuevo-en-la-provincia-de-toledo/</t>
  </si>
  <si>
    <t>https://gsas.es/producto/base-de-datos-de-empresas-de-la-localidad-de-quintanar-de-la-orden-en-la-provincia-de-toledo/</t>
  </si>
  <si>
    <t>https://gsas.es/producto/base-de-datos-de-empresas-de-la-localidad-de-olias-del-rey-en-la-provincia-de-toledo/</t>
  </si>
  <si>
    <t>https://gsas.es/producto/base-de-datos-de-empresas-de-la-localidad-de-ocana-en-la-provincia-de-toledo/</t>
  </si>
  <si>
    <t>https://gsas.es/producto/base-de-datos-de-empresas-de-la-localidad-de-numancia-de-la-sagra-en-la-provincia-de-toledo/</t>
  </si>
  <si>
    <t>https://gsas.es/producto/base-de-datos-de-empresas-de-la-localidad-de-mora-en-la-provincia-de-toledo/</t>
  </si>
  <si>
    <t>https://gsas.es/producto/base-de-datos-de-empresas-de-la-localidad-de-madridejos-en-la-provincia-de-toledo/</t>
  </si>
  <si>
    <t>https://gsas.es/producto/base-de-datos-de-empresas-de-la-localidad-de-los-yebenes-en-la-provincia-de-toledo/</t>
  </si>
  <si>
    <t>https://gsas.es/producto/base-de-datos-de-empresas-de-la-localidad-de-la-puebla-de-montalban-en-la-provincia-de-toledo/</t>
  </si>
  <si>
    <t>https://gsas.es/producto/base-de-datos-de-empresas-de-la-localidad-de-fuensalida-en-la-provincia-de-toledo/</t>
  </si>
  <si>
    <t>https://gsas.es/producto/base-de-datos-de-empresas-de-la-localidad-de-corral-de-almaguer-en-la-provincia-de-toledo/</t>
  </si>
  <si>
    <t>https://gsas.es/producto/base-de-datos-de-empresas-de-la-localidad-de-consuegra-en-la-provincia-de-toledo/</t>
  </si>
  <si>
    <t>https://gsas.es/producto/base-de-datos-de-empresas-de-la-localidad-de-casarrubios-del-monte-en-la-provincia-de-toledo/</t>
  </si>
  <si>
    <t>https://gsas.es/producto/base-de-datos-de-empresas-de-la-localidad-de-bargas-en-la-provincia-de-toledo/</t>
  </si>
  <si>
    <t>https://gsas.es/producto/base-de-datos-de-empresas-de-la-localidad-de-valderrobres-en-la-provincia-de-teruel/</t>
  </si>
  <si>
    <t>https://gsas.es/producto/base-de-datos-de-empresas-de-la-localidad-de-calamocha-en-la-provincia-de-teruel/</t>
  </si>
  <si>
    <t>https://gsas.es/producto/base-de-datos-de-empresas-de-la-localidad-de-andorra-en-la-provincia-de-teruel/</t>
  </si>
  <si>
    <t>https://gsas.es/producto/base-de-datos-de-empresas-de-la-localidad-de-zaratan-en-la-provincia-de-valladolid/</t>
  </si>
  <si>
    <t>https://gsas.es/producto/base-de-datos-de-empresas-de-la-localidad-de-tordesillas-en-la-provincia-de-valladolid/</t>
  </si>
  <si>
    <t>https://gsas.es/producto/base-de-datos-de-empresas-de-la-localidad-de-santovenia-de-pisuerga-en-la-provincia-de-valladolid/</t>
  </si>
  <si>
    <t>https://gsas.es/producto/base-de-datos-de-empresas-de-la-localidad-de-penafiel-en-la-provincia-de-valladolid/</t>
  </si>
  <si>
    <t>https://gsas.es/producto/base-de-datos-de-empresas-de-la-localidad-de-olmedo-en-la-provincia-de-valladolid/</t>
  </si>
  <si>
    <t>https://gsas.es/producto/base-de-datos-de-empresas-de-la-localidad-de-montemayor-de-pililla-en-la-provincia-de-valladolid/</t>
  </si>
  <si>
    <t>https://gsas.es/producto/base-de-datos-de-empresas-de-la-localidad-de-medina-de-rioseco-en-la-provincia-de-valladolid/</t>
  </si>
  <si>
    <t>https://gsas.es/producto/base-de-datos-de-empresas-de-la-localidad-de-laguna-de-duero-en-la-provincia-de-valladolid/</t>
  </si>
  <si>
    <t>https://gsas.es/producto/base-de-datos-de-empresas-de-la-localidad-de-la-cisterniga-en-la-provincia-de-valladolid/</t>
  </si>
  <si>
    <t>https://gsas.es/producto/base-de-datos-de-empresas-de-la-localidad-de-iscar-en-la-provincia-de-valladolid/</t>
  </si>
  <si>
    <t>https://gsas.es/producto/base-de-datos-de-empresas-de-la-localidad-de-arroyo-de-la-encomienda-en-la-provincia-de-valladolid/</t>
  </si>
  <si>
    <t>https://gsas.es/producto/base-de-datos-de-empresas-de-la-localidad-de-aldeamayor-de-san-martin-en-la-provincia-de-valladolid/</t>
  </si>
  <si>
    <t>Alaquas</t>
  </si>
  <si>
    <t>Albaida</t>
  </si>
  <si>
    <t>Albal</t>
  </si>
  <si>
    <t>Alberic</t>
  </si>
  <si>
    <t>Alboraya</t>
  </si>
  <si>
    <t>Alcasser</t>
  </si>
  <si>
    <t>Aldaia</t>
  </si>
  <si>
    <t>Aldea De Estenas</t>
  </si>
  <si>
    <t>Alfafar</t>
  </si>
  <si>
    <t>Algemesi</t>
  </si>
  <si>
    <t>Alginet</t>
  </si>
  <si>
    <t>Almussafes</t>
  </si>
  <si>
    <t>Alzira</t>
  </si>
  <si>
    <t>Anahuir</t>
  </si>
  <si>
    <t>Ausias March</t>
  </si>
  <si>
    <t>Benaguasil</t>
  </si>
  <si>
    <t>Benimamet</t>
  </si>
  <si>
    <t>Benimodo</t>
  </si>
  <si>
    <t>Benimuslem</t>
  </si>
  <si>
    <t>Beniparrell</t>
  </si>
  <si>
    <t>Benisano</t>
  </si>
  <si>
    <t>Betera</t>
  </si>
  <si>
    <t>Bonrepos I Mirambell</t>
  </si>
  <si>
    <t>Buñol</t>
  </si>
  <si>
    <t>Burjassot</t>
  </si>
  <si>
    <t>Campo Olivar</t>
  </si>
  <si>
    <t>Camporrobles</t>
  </si>
  <si>
    <t>Canals</t>
  </si>
  <si>
    <t>Carcaixent</t>
  </si>
  <si>
    <t>Cheste</t>
  </si>
  <si>
    <t>Chiva</t>
  </si>
  <si>
    <t>Cruz De Gracia</t>
  </si>
  <si>
    <t>Cullera</t>
  </si>
  <si>
    <t>L Alcudia</t>
  </si>
  <si>
    <t>L Alter</t>
  </si>
  <si>
    <t>L Eliana</t>
  </si>
  <si>
    <t>Manises</t>
  </si>
  <si>
    <t>Sitges</t>
  </si>
  <si>
    <t>https://gsas.es/producto/base-de-datos-de-empresas-de-la-localidad-de-tobarra-en-la-provincia-de-albacete/</t>
  </si>
  <si>
    <t>https://gsas.es/producto/base-de-datos-de-empresas-de-la-localidad-de-la-roda-en-la-provincia-de-albacete/</t>
  </si>
  <si>
    <t>https://gsas.es/producto/base-de-datos-de-empresas-de-la-localidad-de-chinchilla-de-monte-aragon-en-la-provincia-de-albacete/</t>
  </si>
  <si>
    <t>https://gsas.es/producto/base-de-datos-de-empresas-de-la-localidad-de-caudete-en-la-provincia-de-albacete/</t>
  </si>
  <si>
    <t>https://gsas.es/producto/base-de-datos-de-empresas-de-la-localidad-de-casas-ibanez-en-la-provincia-de-albacete/</t>
  </si>
  <si>
    <t>wordpress pone que no existe</t>
  </si>
  <si>
    <t>https://gsas.es/producto/base-de-datos-de-empresas-de-la-localidad-de-oion-en-la-provincia-de-alava/</t>
  </si>
  <si>
    <t>https://gsas.es/producto/base-de-datos-de-empresas-de-la-localidad-de-laudio-llodio-en-la-provincia-de-alava/</t>
  </si>
  <si>
    <t>https://gsas.es/producto/base-de-datos-de-empresas-de-la-localidad-de-laguardia-en-la-provincia-de-alava/</t>
  </si>
  <si>
    <t>https://gsas.es/producto/base-de-datos-de-empresas-de-la-localidad-de-amurrio-en-la-provincia-de-alava/</t>
  </si>
  <si>
    <t>https://gsas.es/producto/base-de-datos-de-empresas-de-la-localidad-de-agurain-en-la-provincia-de-alava/</t>
  </si>
  <si>
    <t>https://gsas.es/producto/base-de-datos-de-empresas-de-la-localidad-de-randufe-en-la-provincia-de-a-coruna/</t>
  </si>
  <si>
    <t>https://gsas.es/producto/base-de-datos-de-empresas-de-la-localidad-de-pontedeume-en-la-provincia-de-a-coruna/</t>
  </si>
  <si>
    <t>https://gsas.es/producto/base-de-datos-de-empresas-de-la-localidad-de-pobra-do-caraminal-en-la-provincia-de-a-coruna/</t>
  </si>
  <si>
    <t>https://gsas.es/producto/base-de-datos-de-empresas-de-la-localidad-de-pazo-do-rio-en-la-provincia-de-a-coruna/</t>
  </si>
  <si>
    <t>https://gsas.es/producto/base-de-datos-de-empresas-de-la-localidad-de-padron-en-la-provincia-de-a-coruna/</t>
  </si>
  <si>
    <t>https://gsas.es/producto/base-de-datos-de-empresas-de-la-localidad-de-o-graxal-en-la-provincia-de-a-coruna/</t>
  </si>
  <si>
    <t>https://gsas.es/producto/base-de-datos-de-empresas-de-la-localidad-de-o-ameneiral-en-la-provincia-de-a-coruna/</t>
  </si>
  <si>
    <t>https://gsas.es/producto/base-de-datos-de-empresas-de-la-localidad-de-noia-en-la-provincia-de-a-coruna/</t>
  </si>
  <si>
    <t>https://gsas.es/producto/base-de-datos-de-empresas-de-la-localidad-de-negreira-en-la-provincia-de-a-coruna/</t>
  </si>
  <si>
    <t>https://gsas.es/producto/base-de-datos-de-empresas-de-la-localidad-de-mino-en-la-provincia-de-a-coruna/</t>
  </si>
  <si>
    <t>https://gsas.es/producto/base-de-datos-de-empresas-de-la-localidad-de-melide-en-la-provincia-de-a-coruna/</t>
  </si>
  <si>
    <t>https://gsas.es/producto/base-de-datos-de-empresas-de-la-localidad-de-martin-en-la-provincia-de-a-coruna/</t>
  </si>
  <si>
    <t>https://gsas.es/producto/base-de-datos-de-empresas-de-la-localidad-de-fisterra-en-la-provincia-de-a-coruna/</t>
  </si>
  <si>
    <t>https://gsas.es/producto/base-de-datos-de-empresas-de-la-localidad-de-feans-en-la-provincia-de-a-coruna/</t>
  </si>
  <si>
    <t>https://gsas.es/producto/base-de-datos-de-empresas-de-la-localidad-de-curtis-en-la-provincia-de-a-coruna/</t>
  </si>
  <si>
    <t>https://gsas.es/producto/base-de-datos-de-empresas-de-la-localidad-de-choupana-en-la-provincia-de-a-coruna/</t>
  </si>
  <si>
    <t>https://gsas.es/producto/base-de-datos-de-empresas-de-la-localidad-de-cee-en-la-provincia-de-a-coruna/</t>
  </si>
  <si>
    <t>https://gsas.es/producto/base-de-datos-de-empresas-de-la-localidad-de-cedeira-en-la-provincia-de-a-coruna/</t>
  </si>
  <si>
    <t>https://gsas.es/producto/base-de-datos-de-empresas-de-la-localidad-de-castelo-en-la-provincia-de-a-coruna/</t>
  </si>
  <si>
    <t>https://gsas.es/producto/base-de-datos-de-empresas-de-la-localidad-de-casillas-en-la-provincia-de-a-coruna/</t>
  </si>
  <si>
    <t>https://gsas.es/producto/base-de-datos-de-empresas-de-la-localidad-de-campo-das-cortes-en-la-provincia-de-a-coruna/</t>
  </si>
  <si>
    <t>https://gsas.es/producto/base-de-datos-de-empresas-de-la-localidad-de-calo-en-la-provincia-de-a-coruna/</t>
  </si>
  <si>
    <t>https://gsas.es/producto/base-de-datos-de-empresas-de-la-localidad-de-brana-en-la-provincia-de-a-coruna/</t>
  </si>
  <si>
    <t>https://gsas.es/producto/base-de-datos-de-empresas-de-la-localidad-de-boiro-en-la-provincia-de-a-coruna/</t>
  </si>
  <si>
    <t>https://gsas.es/producto/base-de-datos-de-empresas-de-la-localidad-de-betanzos-en-la-provincia-de-a-coruna/</t>
  </si>
  <si>
    <t>https://gsas.es/producto/base-de-datos-de-empresas-de-la-localidad-de-bentin-en-la-provincia-de-a-coruna/</t>
  </si>
  <si>
    <t>https://gsas.es/producto/base-de-datos-de-empresas-de-la-localidad-de-barreira-en-la-provincia-de-a-coruna/</t>
  </si>
  <si>
    <t>https://gsas.es/producto/base-de-datos-de-empresas-de-la-localidad-de-barral-en-la-provincia-de-a-coruna/</t>
  </si>
  <si>
    <t>https://gsas.es/producto/base-de-datos-de-empresas-de-la-localidad-de-bando-en-la-provincia-de-a-coruna/</t>
  </si>
  <si>
    <t>https://gsas.es/producto/base-de-datos-de-empresas-de-la-localidad-de-balado-en-la-provincia-de-a-coruna/</t>
  </si>
  <si>
    <t>https://gsas.es/producto/base-de-datos-de-empresas-de-la-localidad-de-as-pontes-de-garcia-rodriguez-en-la-provincia-de-a-coruna/</t>
  </si>
  <si>
    <t>https://gsas.es/producto/base-de-datos-de-empresas-de-la-localidad-de-arzua-en-la-provincia-de-a-coruna/</t>
  </si>
  <si>
    <t>https://gsas.es/producto/base-de-datos-de-empresas-de-la-localidad-de-arteixo-en-la-provincia-de-a-coruna/</t>
  </si>
  <si>
    <t>https://gsas.es/producto/base-de-datos-de-empresas-de-la-localidad-de-ardesende-en-la-provincia-de-a-coruna/</t>
  </si>
  <si>
    <t>https://gsas.es/producto/base-de-datos-de-empresas-de-la-localidad-de-arca-en-la-provincia-de-a-coruna/</t>
  </si>
  <si>
    <t>https://gsas.es/producto/base-de-datos-de-empresas-de-la-localidad-de-anllons-en-la-provincia-de-a-coruna/</t>
  </si>
  <si>
    <t>https://gsas.es/producto/base-de-datos-de-empresas-de-la-localidad-de-aneiros-en-la-provincia-de-a-coruna/</t>
  </si>
  <si>
    <t>https://gsas.es/producto/base-de-datos-de-empresas-de-la-localidad-de-a-brea-en-la-provincia-de-a-coruna/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</si>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</sst>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€&quot;"/>
  </numFmts>
  <fonts count="2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9"/>
      <color indexed="8"/>
      <name val="Calibri"/>
      <charset val="134"/>
      <scheme val="minor"/>
    </font>
    <font>
      <u/>
      <sz val="9"/>
      <color rgb="FF0000FF"/>
      <name val="Calibri"/>
      <charset val="134"/>
      <scheme val="minor"/>
    </font>
    <font>
      <u/>
      <sz val="9"/>
      <color indexed="12"/>
      <name val="Calibri"/>
      <charset val="134"/>
      <scheme val="minor"/>
    </font>
    <font>
      <u/>
      <sz val="9"/>
      <color rgb="FF800080"/>
      <name val="Calibri"/>
      <charset val="134"/>
      <scheme val="minor"/>
    </font>
    <font>
      <u/>
      <sz val="9"/>
      <color theme="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center"/>
    </xf>
    <xf numFmtId="0" fontId="11" fillId="0" borderId="0"/>
  </cellStyleXfs>
  <cellXfs count="11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2" fillId="7" borderId="0" xfId="0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4" fillId="0" borderId="0" xfId="0" applyFont="1"/>
    <xf numFmtId="164" fontId="1" fillId="6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5" fillId="6" borderId="1" xfId="1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8" fillId="8" borderId="1" xfId="1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3" fontId="4" fillId="0" borderId="0" xfId="0" applyNumberFormat="1" applyFont="1" applyAlignment="1">
      <alignment horizontal="center"/>
    </xf>
    <xf numFmtId="0" fontId="4" fillId="6" borderId="0" xfId="0" applyFont="1" applyFill="1"/>
    <xf numFmtId="0" fontId="3" fillId="6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8" borderId="1" xfId="0" applyFont="1" applyFill="1" applyBorder="1"/>
    <xf numFmtId="0" fontId="5" fillId="8" borderId="1" xfId="1" applyFont="1" applyFill="1" applyBorder="1" applyAlignment="1">
      <alignment horizontal="left"/>
    </xf>
    <xf numFmtId="164" fontId="9" fillId="6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4" fontId="9" fillId="3" borderId="1" xfId="0" applyNumberFormat="1" applyFont="1" applyFill="1" applyBorder="1" applyAlignment="1">
      <alignment horizontal="center"/>
    </xf>
    <xf numFmtId="3" fontId="9" fillId="3" borderId="1" xfId="0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1" fillId="0" borderId="1" xfId="0" applyFont="1" applyBorder="1"/>
    <xf numFmtId="0" fontId="5" fillId="3" borderId="1" xfId="1" applyFont="1" applyFill="1" applyBorder="1" applyAlignment="1">
      <alignment horizontal="left"/>
    </xf>
    <xf numFmtId="0" fontId="4" fillId="4" borderId="0" xfId="0" applyFont="1" applyFill="1"/>
    <xf numFmtId="3" fontId="4" fillId="4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3" fillId="7" borderId="0" xfId="0" applyFont="1" applyFill="1"/>
    <xf numFmtId="0" fontId="15" fillId="8" borderId="1" xfId="0" applyFont="1" applyFill="1" applyBorder="1" applyAlignment="1">
      <alignment horizontal="left"/>
    </xf>
    <xf numFmtId="3" fontId="14" fillId="0" borderId="1" xfId="0" applyNumberFormat="1" applyFont="1" applyBorder="1" applyAlignment="1">
      <alignment horizontal="center"/>
    </xf>
    <xf numFmtId="4" fontId="14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14" fillId="6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/>
    </xf>
    <xf numFmtId="0" fontId="16" fillId="6" borderId="1" xfId="1" applyFont="1" applyFill="1" applyBorder="1" applyAlignment="1">
      <alignment horizontal="left"/>
    </xf>
    <xf numFmtId="0" fontId="0" fillId="0" borderId="1" xfId="0" applyBorder="1"/>
    <xf numFmtId="164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7" borderId="1" xfId="0" applyFont="1" applyFill="1" applyBorder="1"/>
    <xf numFmtId="0" fontId="3" fillId="7" borderId="1" xfId="0" applyFont="1" applyFill="1" applyBorder="1"/>
    <xf numFmtId="0" fontId="2" fillId="7" borderId="1" xfId="0" applyFont="1" applyFill="1" applyBorder="1" applyAlignment="1">
      <alignment horizontal="left"/>
    </xf>
    <xf numFmtId="0" fontId="4" fillId="0" borderId="1" xfId="0" applyFont="1" applyBorder="1"/>
    <xf numFmtId="0" fontId="1" fillId="3" borderId="1" xfId="0" applyFont="1" applyFill="1" applyBorder="1"/>
    <xf numFmtId="0" fontId="9" fillId="3" borderId="1" xfId="0" applyFont="1" applyFill="1" applyBorder="1"/>
    <xf numFmtId="0" fontId="14" fillId="0" borderId="1" xfId="0" applyFont="1" applyBorder="1"/>
    <xf numFmtId="0" fontId="13" fillId="7" borderId="1" xfId="0" applyFont="1" applyFill="1" applyBorder="1"/>
    <xf numFmtId="0" fontId="1" fillId="6" borderId="1" xfId="0" applyFont="1" applyFill="1" applyBorder="1"/>
    <xf numFmtId="0" fontId="4" fillId="4" borderId="1" xfId="0" applyFont="1" applyFill="1" applyBorder="1"/>
    <xf numFmtId="0" fontId="14" fillId="9" borderId="1" xfId="0" applyFont="1" applyFill="1" applyBorder="1"/>
    <xf numFmtId="0" fontId="17" fillId="6" borderId="1" xfId="0" applyFont="1" applyFill="1" applyBorder="1"/>
    <xf numFmtId="0" fontId="18" fillId="6" borderId="1" xfId="0" applyFont="1" applyFill="1" applyBorder="1" applyAlignment="1">
      <alignment horizontal="left"/>
    </xf>
    <xf numFmtId="0" fontId="14" fillId="3" borderId="1" xfId="0" applyFont="1" applyFill="1" applyBorder="1"/>
    <xf numFmtId="0" fontId="14" fillId="0" borderId="0" xfId="0" applyFont="1"/>
    <xf numFmtId="0" fontId="19" fillId="6" borderId="1" xfId="0" applyFont="1" applyFill="1" applyBorder="1" applyAlignment="1">
      <alignment horizontal="left"/>
    </xf>
    <xf numFmtId="3" fontId="14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14" fillId="6" borderId="0" xfId="0" applyNumberFormat="1" applyFont="1" applyFill="1" applyAlignment="1">
      <alignment horizontal="center"/>
    </xf>
    <xf numFmtId="3" fontId="19" fillId="0" borderId="1" xfId="0" applyNumberFormat="1" applyFont="1" applyBorder="1" applyAlignment="1">
      <alignment horizontal="center"/>
    </xf>
    <xf numFmtId="4" fontId="19" fillId="0" borderId="1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14" fillId="6" borderId="0" xfId="0" applyFont="1" applyFill="1" applyAlignment="1">
      <alignment horizontal="left"/>
    </xf>
    <xf numFmtId="0" fontId="19" fillId="6" borderId="0" xfId="0" applyFont="1" applyFill="1" applyAlignment="1">
      <alignment horizontal="left"/>
    </xf>
    <xf numFmtId="0" fontId="14" fillId="5" borderId="0" xfId="0" applyFont="1" applyFill="1"/>
    <xf numFmtId="0" fontId="20" fillId="6" borderId="1" xfId="1" applyNumberFormat="1" applyFont="1" applyFill="1" applyBorder="1" applyAlignment="1" applyProtection="1">
      <alignment horizontal="left"/>
    </xf>
    <xf numFmtId="0" fontId="10" fillId="6" borderId="1" xfId="1" applyFill="1" applyBorder="1" applyAlignment="1">
      <alignment horizontal="left"/>
    </xf>
    <xf numFmtId="0" fontId="19" fillId="0" borderId="1" xfId="0" applyFont="1" applyBorder="1"/>
    <xf numFmtId="0" fontId="14" fillId="6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0" fillId="6" borderId="0" xfId="1" applyNumberFormat="1" applyFont="1" applyFill="1" applyBorder="1" applyAlignment="1" applyProtection="1">
      <alignment horizontal="left"/>
    </xf>
    <xf numFmtId="3" fontId="3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3" fontId="1" fillId="6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9" fillId="6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13" fillId="7" borderId="1" xfId="0" applyNumberFormat="1" applyFont="1" applyFill="1" applyBorder="1" applyAlignment="1">
      <alignment horizontal="center"/>
    </xf>
    <xf numFmtId="3" fontId="12" fillId="6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14" fillId="6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3" fontId="18" fillId="6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14" fillId="6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15" fillId="7" borderId="1" xfId="0" applyFont="1" applyFill="1" applyBorder="1" applyAlignment="1">
      <alignment horizontal="center"/>
    </xf>
  </cellXfs>
  <cellStyles count="3">
    <cellStyle name="Hipervínculo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sas.es/producto/base-de-datos-de-empresas-de-la-localidad-de-abio-en-la-provincia-de-alicante/" TargetMode="External"/><Relationship Id="rId13" Type="http://schemas.openxmlformats.org/officeDocument/2006/relationships/hyperlink" Target="https://gsas.es/producto/base-de-datos-de-empresas-de-la-localidad-de-laudio-llodio-en-la-provincia-de-alava/" TargetMode="External"/><Relationship Id="rId18" Type="http://schemas.openxmlformats.org/officeDocument/2006/relationships/hyperlink" Target="https://gsas.es/producto/base-de-datos-de-empresas-de-la-localidad-de-abuli-en-la-provincia-de-asturias/" TargetMode="External"/><Relationship Id="rId26" Type="http://schemas.openxmlformats.org/officeDocument/2006/relationships/hyperlink" Target="https://gsas.es/producto/base-de-datos-de-empresas-de-la-localidad-de-aeroport-d-eivissa-en-la-provincia-de-islas-baleares/" TargetMode="External"/><Relationship Id="rId39" Type="http://schemas.openxmlformats.org/officeDocument/2006/relationships/hyperlink" Target="https://gsas.es/producto/base-de-datos-de-empresas-de-la-localidad-de-agirre-en-la-provincia-de-vizcaya/" TargetMode="External"/><Relationship Id="rId3" Type="http://schemas.openxmlformats.org/officeDocument/2006/relationships/hyperlink" Target="https://gsas.es/producto/base-de-datos-de-empresas-de-la-localidad-de-abegondo-en-la-provincia-de-a-coruna/" TargetMode="External"/><Relationship Id="rId21" Type="http://schemas.openxmlformats.org/officeDocument/2006/relationships/hyperlink" Target="https://gsas.es/producto/base-de-datos-de-empresas-de-la-localidad-de-abrera-en-la-provincia-de-barcelona/" TargetMode="External"/><Relationship Id="rId34" Type="http://schemas.openxmlformats.org/officeDocument/2006/relationships/hyperlink" Target="https://gsas.es/producto/base-de-datos-de-empresas-de-la-localidad-de-agirre-aperribai-en-la-provincia-de-vizcaya-bizkaia" TargetMode="External"/><Relationship Id="rId42" Type="http://schemas.openxmlformats.org/officeDocument/2006/relationships/hyperlink" Target="https://gsas.es/producto/base-de-datos-de-empresas-de-la-localidad-de-santovenia-de-pisuerga-en-la-provincia-de-valladolid/" TargetMode="External"/><Relationship Id="rId7" Type="http://schemas.openxmlformats.org/officeDocument/2006/relationships/hyperlink" Target="https://gsas.es/producto/base-de-datos-de-empresas-de-la-localidad-de-agoso-en-la-provincia-de-a-coruna/" TargetMode="External"/><Relationship Id="rId12" Type="http://schemas.openxmlformats.org/officeDocument/2006/relationships/hyperlink" Target="https://gsas.es/producto/base-de-datos-de-empresas-de-la-localidad-de-laguardia-en-la-provincia-de-alava/" TargetMode="External"/><Relationship Id="rId17" Type="http://schemas.openxmlformats.org/officeDocument/2006/relationships/hyperlink" Target="https://gsas.es/producto/base-de-datos-de-empresas-de-la-localidad-de-abranedo-en-la-provincia-de-asturias/" TargetMode="External"/><Relationship Id="rId25" Type="http://schemas.openxmlformats.org/officeDocument/2006/relationships/hyperlink" Target="https://gsas.es/producto/base-de-datos-de-empresas-de-la-localidad-de-aginaga-en-la-provincia-de-guipuzcoa/" TargetMode="External"/><Relationship Id="rId33" Type="http://schemas.openxmlformats.org/officeDocument/2006/relationships/hyperlink" Target="https://gsas.es/producto/base-de-datos-de-empresas-de-la-localidad-de-acoran-en-la-provincia-de-tenerife/" TargetMode="External"/><Relationship Id="rId38" Type="http://schemas.openxmlformats.org/officeDocument/2006/relationships/hyperlink" Target="https://gsas.es/producto/base-de-datos-de-empresas-de-la-localidad-de-aeropuerto-de-loiu-en-la-provincia-de-vizcaya/" TargetMode="External"/><Relationship Id="rId2" Type="http://schemas.openxmlformats.org/officeDocument/2006/relationships/hyperlink" Target="https://gsas.es/producto/base-de-datos-de-empresas-de-la-localidad-de-a-barcala-en-la-provincia-de-a-coruna/" TargetMode="External"/><Relationship Id="rId16" Type="http://schemas.openxmlformats.org/officeDocument/2006/relationships/hyperlink" Target="https://gsas.es/producto/base-de-datos-de-empresas-de-la-localidad-de-abamia-provincia-de-asturias/" TargetMode="External"/><Relationship Id="rId20" Type="http://schemas.openxmlformats.org/officeDocument/2006/relationships/hyperlink" Target="https://gsas.es/producto/base-de-datos-de-empresas-de-la-localidad-de-aceuchal-en-la-provincia-de-badajoz/" TargetMode="External"/><Relationship Id="rId29" Type="http://schemas.openxmlformats.org/officeDocument/2006/relationships/hyperlink" Target="https://gsas.es/producto/base-de-datos-de-empresas-de-la-localidad-de-abaran-en-la-provincia-de-murcia/" TargetMode="External"/><Relationship Id="rId41" Type="http://schemas.openxmlformats.org/officeDocument/2006/relationships/hyperlink" Target="https://gsas.es/producto/base-de-datos-de-empresas-de-la-localidad-de-aeropuerto-de-noain-en-la-provincia-de-navarra/" TargetMode="External"/><Relationship Id="rId1" Type="http://schemas.openxmlformats.org/officeDocument/2006/relationships/hyperlink" Target="https://gsas.es/producto/base-de-datos-de-empresas-de-la-localidad-de-a-aldea-de-arriba-en-la-provincia-de-a-coruna/" TargetMode="External"/><Relationship Id="rId6" Type="http://schemas.openxmlformats.org/officeDocument/2006/relationships/hyperlink" Target="https://gsas.es/producto/base-de-datos-de-empresas-de-la-localidad-de-aeropuerto-de-alvedro-en-la-provincia-de-a-coruna/" TargetMode="External"/><Relationship Id="rId11" Type="http://schemas.openxmlformats.org/officeDocument/2006/relationships/hyperlink" Target="https://gsas.es/producto/base-de-datos-de-empresas-de-la-localidad-de-casillas-en-la-provincia-de-a-coruna/" TargetMode="External"/><Relationship Id="rId24" Type="http://schemas.openxmlformats.org/officeDocument/2006/relationships/hyperlink" Target="https://gsas.es/producto/base-de-datos-de-empresas-de-la-localidad-de-aduana-en-la-provincia-de-guipuzcoa/" TargetMode="External"/><Relationship Id="rId32" Type="http://schemas.openxmlformats.org/officeDocument/2006/relationships/hyperlink" Target="https://gsas.es/producto/base-de-datos-de-empresas-de-la-localidad-de-acantilados-de-los-gigantes-en-la-provincia-de-tenerife/" TargetMode="External"/><Relationship Id="rId37" Type="http://schemas.openxmlformats.org/officeDocument/2006/relationships/hyperlink" Target="https://gsas.es/producto/base-de-datos-de-empresas-de-la-localidad-de-abanto-en-la-provincia-de-vizcaya/" TargetMode="External"/><Relationship Id="rId40" Type="http://schemas.openxmlformats.org/officeDocument/2006/relationships/hyperlink" Target="https://gsas.es/producto/base-de-datos-de-empresas-de-la-localidad-de-agirre-aperribai-en-la-provincia-de-vizcaya/" TargetMode="External"/><Relationship Id="rId5" Type="http://schemas.openxmlformats.org/officeDocument/2006/relationships/hyperlink" Target="https://gsas.es/producto/base-de-datos-de-empresas-de-la-localidad-de-acea-de-ama-en-la-provincia-de-a-coruna/" TargetMode="External"/><Relationship Id="rId15" Type="http://schemas.openxmlformats.org/officeDocument/2006/relationships/hyperlink" Target="https://gsas.es/producto/base-de-datos-de-empresas-de-la-localidad-de-adra-en-la-provincia-de-almeria/" TargetMode="External"/><Relationship Id="rId23" Type="http://schemas.openxmlformats.org/officeDocument/2006/relationships/hyperlink" Target="https://gsas.es/producto/base-de-datos-de-empresas-de-la-localidad-de-abejorreras-en-la-provincia-de-cordoba/" TargetMode="External"/><Relationship Id="rId28" Type="http://schemas.openxmlformats.org/officeDocument/2006/relationships/hyperlink" Target="https://gsas.es/producto/base-de-datos-de-empresas-de-la-localidad-de-mostoles-en-la-provincia-de-madrid/" TargetMode="External"/><Relationship Id="rId36" Type="http://schemas.openxmlformats.org/officeDocument/2006/relationships/hyperlink" Target="https://gsas.es/producto/base-de-datos-de-empresas-de-la-localidad-de-abadino-en-la-provincia-de-vizcaya/" TargetMode="External"/><Relationship Id="rId10" Type="http://schemas.openxmlformats.org/officeDocument/2006/relationships/hyperlink" Target="https://gsas.es/producto/base-de-datos-de-empresas-de-la-localidad-de-almafra-en-la-provincia-de-alicante/" TargetMode="External"/><Relationship Id="rId19" Type="http://schemas.openxmlformats.org/officeDocument/2006/relationships/hyperlink" Target="https://gsas.es/producto/base-de-datos-de-empresas-de-la-localidad-de-acenas-en-la-provincia-de-asturias/" TargetMode="External"/><Relationship Id="rId31" Type="http://schemas.openxmlformats.org/officeDocument/2006/relationships/hyperlink" Target="https://gsas.es/producto/base-de-datos-de-empresas-de-la-localidad-de-abama-en-la-provincia-de-tenerife/" TargetMode="External"/><Relationship Id="rId44" Type="http://schemas.openxmlformats.org/officeDocument/2006/relationships/hyperlink" Target="https://gsas.es/producto/base-de-datos-de-empresas-de-la-localidad-de-alzira-en-la-provincia-de-valencia" TargetMode="External"/><Relationship Id="rId4" Type="http://schemas.openxmlformats.org/officeDocument/2006/relationships/hyperlink" Target="https://gsas.es/producto/base-de-datos-de-empresas-de-la-localidad-de-acea-da-ma-en-la-provincia-de-a-coruna/" TargetMode="External"/><Relationship Id="rId9" Type="http://schemas.openxmlformats.org/officeDocument/2006/relationships/hyperlink" Target="https://gsas.es/producto/base-de-datos-de-empresas-de-la-localidad-de-agost-en-la-provincia-de-alicante/" TargetMode="External"/><Relationship Id="rId14" Type="http://schemas.openxmlformats.org/officeDocument/2006/relationships/hyperlink" Target="https://gsas.es/producto/base-de-datos-de-empresas-de-la-localidad-de-chinchilla-de-monte-aragon-en-la-provincia-de-albacete/" TargetMode="External"/><Relationship Id="rId22" Type="http://schemas.openxmlformats.org/officeDocument/2006/relationships/hyperlink" Target="https://gsas.es/producto/base-de-datos-de-empresas-de-la-localidad-de-ages-en-la-provincia-de-burgos/" TargetMode="External"/><Relationship Id="rId27" Type="http://schemas.openxmlformats.org/officeDocument/2006/relationships/hyperlink" Target="https://gsas.es/producto/base-de-datos-de-empresas-de-la-localidad-de-blaca-donaeivissa-en-la-provincia-de-islas-baleares-iles-balears/" TargetMode="External"/><Relationship Id="rId30" Type="http://schemas.openxmlformats.org/officeDocument/2006/relationships/hyperlink" Target="https://gsas.es/producto/base-de-datos-de-empresas-de-la-localidad-de-a-estrada-en-la-provincia-de-pontevedra/" TargetMode="External"/><Relationship Id="rId35" Type="http://schemas.openxmlformats.org/officeDocument/2006/relationships/hyperlink" Target="https://gsas.es/producto/base-de-datos-de-empresas-de-la-localidad-de-zaragoza-de-la-provincia-de-zaragoza/" TargetMode="External"/><Relationship Id="rId43" Type="http://schemas.openxmlformats.org/officeDocument/2006/relationships/hyperlink" Target="https://gsas.es/producto/base-de-datos-de-empresas-de-la-localidad-de-banos-de-cerrato-en-la-provincia-de-palenc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5"/>
  <sheetViews>
    <sheetView tabSelected="1" topLeftCell="H568" zoomScale="120" zoomScaleNormal="120" workbookViewId="0">
      <selection activeCell="N2" sqref="N2"/>
    </sheetView>
  </sheetViews>
  <sheetFormatPr baseColWidth="10" defaultRowHeight="15"/>
  <cols>
    <col min="2" max="2" width="22.140625" customWidth="1"/>
    <col min="14" max="14" width="151.42578125" bestFit="1" customWidth="1"/>
  </cols>
  <sheetData>
    <row r="1" spans="1:16" s="5" customFormat="1" ht="12">
      <c r="A1" s="61" t="s">
        <v>0</v>
      </c>
      <c r="B1" s="62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5"/>
      <c r="J1" s="96" t="s">
        <v>8</v>
      </c>
      <c r="K1" s="96" t="s">
        <v>9</v>
      </c>
      <c r="L1" s="96" t="s">
        <v>10</v>
      </c>
      <c r="M1" s="96" t="s">
        <v>11</v>
      </c>
      <c r="N1" s="117" t="s">
        <v>2137</v>
      </c>
    </row>
    <row r="2" spans="1:16">
      <c r="A2" s="67" t="s">
        <v>12</v>
      </c>
      <c r="B2" s="67" t="s">
        <v>13</v>
      </c>
      <c r="C2" s="90">
        <v>497</v>
      </c>
      <c r="D2" s="90">
        <v>488</v>
      </c>
      <c r="E2" s="90">
        <v>425</v>
      </c>
      <c r="F2" s="90">
        <v>185</v>
      </c>
      <c r="G2" s="90">
        <v>468</v>
      </c>
      <c r="H2" s="90">
        <v>335</v>
      </c>
      <c r="I2" s="92"/>
      <c r="J2" s="51">
        <f t="shared" ref="J2:J33" si="0">+K2*L2</f>
        <v>2.9820000000000002</v>
      </c>
      <c r="K2" s="50">
        <v>6</v>
      </c>
      <c r="L2" s="49">
        <f t="shared" ref="L2:L33" si="1">+M2/1000</f>
        <v>0.497</v>
      </c>
      <c r="M2" s="48">
        <f t="shared" ref="M2:M33" si="2">+C2</f>
        <v>497</v>
      </c>
      <c r="N2" s="54" t="s">
        <v>14</v>
      </c>
      <c r="O2" s="75"/>
      <c r="P2" s="75"/>
    </row>
    <row r="3" spans="1:16">
      <c r="A3" s="67" t="s">
        <v>12</v>
      </c>
      <c r="B3" s="67" t="s">
        <v>15</v>
      </c>
      <c r="C3" s="90">
        <v>315</v>
      </c>
      <c r="D3" s="90">
        <v>313</v>
      </c>
      <c r="E3" s="90">
        <v>264</v>
      </c>
      <c r="F3" s="90">
        <v>78</v>
      </c>
      <c r="G3" s="90">
        <v>293</v>
      </c>
      <c r="H3" s="90">
        <v>157</v>
      </c>
      <c r="I3" s="92"/>
      <c r="J3" s="51">
        <f t="shared" si="0"/>
        <v>1.8900000000000001</v>
      </c>
      <c r="K3" s="50">
        <v>6</v>
      </c>
      <c r="L3" s="49">
        <f t="shared" si="1"/>
        <v>0.315</v>
      </c>
      <c r="M3" s="48">
        <f t="shared" si="2"/>
        <v>315</v>
      </c>
      <c r="N3" s="54" t="s">
        <v>16</v>
      </c>
      <c r="O3" s="75"/>
      <c r="P3" s="75"/>
    </row>
    <row r="4" spans="1:16">
      <c r="A4" s="67" t="s">
        <v>12</v>
      </c>
      <c r="B4" s="67" t="s">
        <v>1969</v>
      </c>
      <c r="C4" s="90">
        <v>746</v>
      </c>
      <c r="D4" s="90">
        <v>739</v>
      </c>
      <c r="E4" s="90">
        <v>595</v>
      </c>
      <c r="F4" s="90">
        <v>116</v>
      </c>
      <c r="G4" s="90">
        <v>732</v>
      </c>
      <c r="H4" s="90">
        <v>309</v>
      </c>
      <c r="I4" s="92"/>
      <c r="J4" s="51">
        <f t="shared" si="0"/>
        <v>4.476</v>
      </c>
      <c r="K4" s="50">
        <v>6</v>
      </c>
      <c r="L4" s="49">
        <f t="shared" si="1"/>
        <v>0.746</v>
      </c>
      <c r="M4" s="48">
        <f t="shared" si="2"/>
        <v>746</v>
      </c>
      <c r="N4" s="52" t="s">
        <v>2136</v>
      </c>
      <c r="O4" s="75"/>
      <c r="P4" s="75"/>
    </row>
    <row r="5" spans="1:16">
      <c r="A5" s="67" t="s">
        <v>12</v>
      </c>
      <c r="B5" s="67" t="s">
        <v>1921</v>
      </c>
      <c r="C5" s="92">
        <v>12763</v>
      </c>
      <c r="D5" s="92">
        <v>12639</v>
      </c>
      <c r="E5" s="92">
        <v>10696</v>
      </c>
      <c r="F5" s="92">
        <v>3709</v>
      </c>
      <c r="G5" s="92">
        <v>12401</v>
      </c>
      <c r="H5" s="92">
        <v>8066</v>
      </c>
      <c r="I5" s="92"/>
      <c r="J5" s="50">
        <f t="shared" si="0"/>
        <v>63.814999999999998</v>
      </c>
      <c r="K5" s="50">
        <v>5</v>
      </c>
      <c r="L5" s="49">
        <f t="shared" si="1"/>
        <v>12.763</v>
      </c>
      <c r="M5" s="48">
        <f t="shared" si="2"/>
        <v>12763</v>
      </c>
      <c r="N5" s="52" t="s">
        <v>17</v>
      </c>
      <c r="O5" s="75"/>
      <c r="P5" s="75"/>
    </row>
    <row r="6" spans="1:16">
      <c r="A6" s="67" t="s">
        <v>12</v>
      </c>
      <c r="B6" s="67" t="s">
        <v>35</v>
      </c>
      <c r="C6" s="90">
        <v>360</v>
      </c>
      <c r="D6" s="90">
        <v>329</v>
      </c>
      <c r="E6" s="90">
        <v>209</v>
      </c>
      <c r="F6" s="90">
        <v>60</v>
      </c>
      <c r="G6" s="90">
        <v>331</v>
      </c>
      <c r="H6" s="90">
        <v>139</v>
      </c>
      <c r="I6" s="92"/>
      <c r="J6" s="51">
        <f t="shared" si="0"/>
        <v>2.16</v>
      </c>
      <c r="K6" s="50">
        <v>6</v>
      </c>
      <c r="L6" s="49">
        <f t="shared" si="1"/>
        <v>0.36</v>
      </c>
      <c r="M6" s="48">
        <f t="shared" si="2"/>
        <v>360</v>
      </c>
      <c r="N6" s="54" t="s">
        <v>36</v>
      </c>
      <c r="O6" s="75"/>
      <c r="P6" s="75"/>
    </row>
    <row r="7" spans="1:16">
      <c r="A7" s="67" t="s">
        <v>12</v>
      </c>
      <c r="B7" s="67" t="s">
        <v>50</v>
      </c>
      <c r="C7" s="90">
        <v>638</v>
      </c>
      <c r="D7" s="90">
        <v>625</v>
      </c>
      <c r="E7" s="90">
        <v>526</v>
      </c>
      <c r="F7" s="90">
        <v>145</v>
      </c>
      <c r="G7" s="90">
        <v>620</v>
      </c>
      <c r="H7" s="90">
        <v>366</v>
      </c>
      <c r="I7" s="92"/>
      <c r="J7" s="51">
        <f t="shared" si="0"/>
        <v>3.8280000000000003</v>
      </c>
      <c r="K7" s="50">
        <v>6</v>
      </c>
      <c r="L7" s="49">
        <f t="shared" si="1"/>
        <v>0.63800000000000001</v>
      </c>
      <c r="M7" s="48">
        <f t="shared" si="2"/>
        <v>638</v>
      </c>
      <c r="N7" s="54" t="s">
        <v>51</v>
      </c>
      <c r="O7" s="75"/>
      <c r="P7" s="75"/>
    </row>
    <row r="8" spans="1:16">
      <c r="A8" s="67" t="s">
        <v>12</v>
      </c>
      <c r="B8" s="67" t="s">
        <v>52</v>
      </c>
      <c r="C8" s="90">
        <v>608</v>
      </c>
      <c r="D8" s="90">
        <v>603</v>
      </c>
      <c r="E8" s="90">
        <v>503</v>
      </c>
      <c r="F8" s="90">
        <v>158</v>
      </c>
      <c r="G8" s="90">
        <v>588</v>
      </c>
      <c r="H8" s="90">
        <v>335</v>
      </c>
      <c r="I8" s="92"/>
      <c r="J8" s="51">
        <f t="shared" si="0"/>
        <v>3.6479999999999997</v>
      </c>
      <c r="K8" s="50">
        <v>6</v>
      </c>
      <c r="L8" s="49">
        <f t="shared" si="1"/>
        <v>0.60799999999999998</v>
      </c>
      <c r="M8" s="48">
        <f t="shared" si="2"/>
        <v>608</v>
      </c>
      <c r="N8" s="54" t="s">
        <v>53</v>
      </c>
      <c r="O8" s="75"/>
      <c r="P8" s="75"/>
    </row>
    <row r="9" spans="1:16">
      <c r="A9" s="67" t="s">
        <v>12</v>
      </c>
      <c r="B9" s="67" t="s">
        <v>74</v>
      </c>
      <c r="C9" s="90">
        <v>373</v>
      </c>
      <c r="D9" s="90">
        <v>368</v>
      </c>
      <c r="E9" s="90">
        <v>325</v>
      </c>
      <c r="F9" s="90">
        <v>129</v>
      </c>
      <c r="G9" s="90">
        <v>361</v>
      </c>
      <c r="H9" s="90">
        <v>276</v>
      </c>
      <c r="I9" s="92"/>
      <c r="J9" s="51">
        <f t="shared" si="0"/>
        <v>2.238</v>
      </c>
      <c r="K9" s="50">
        <v>6</v>
      </c>
      <c r="L9" s="49">
        <f t="shared" si="1"/>
        <v>0.373</v>
      </c>
      <c r="M9" s="48">
        <f t="shared" si="2"/>
        <v>373</v>
      </c>
      <c r="N9" s="54" t="s">
        <v>75</v>
      </c>
      <c r="O9" s="75"/>
      <c r="P9" s="75"/>
    </row>
    <row r="10" spans="1:16">
      <c r="A10" s="67" t="s">
        <v>12</v>
      </c>
      <c r="B10" s="67" t="s">
        <v>93</v>
      </c>
      <c r="C10" s="90">
        <v>461</v>
      </c>
      <c r="D10" s="90">
        <v>432</v>
      </c>
      <c r="E10" s="90">
        <v>345</v>
      </c>
      <c r="F10" s="90">
        <v>134</v>
      </c>
      <c r="G10" s="90">
        <v>430</v>
      </c>
      <c r="H10" s="90">
        <v>270</v>
      </c>
      <c r="I10" s="92"/>
      <c r="J10" s="51">
        <f t="shared" si="0"/>
        <v>2.766</v>
      </c>
      <c r="K10" s="50">
        <v>6</v>
      </c>
      <c r="L10" s="49">
        <f t="shared" si="1"/>
        <v>0.46100000000000002</v>
      </c>
      <c r="M10" s="48">
        <f t="shared" si="2"/>
        <v>461</v>
      </c>
      <c r="N10" s="54" t="s">
        <v>94</v>
      </c>
      <c r="O10" s="75"/>
      <c r="P10" s="75"/>
    </row>
    <row r="11" spans="1:16">
      <c r="A11" s="67" t="s">
        <v>12</v>
      </c>
      <c r="B11" s="67" t="s">
        <v>1922</v>
      </c>
      <c r="C11" s="92">
        <v>368</v>
      </c>
      <c r="D11" s="92">
        <v>363</v>
      </c>
      <c r="E11" s="92">
        <v>290</v>
      </c>
      <c r="F11" s="92">
        <v>66</v>
      </c>
      <c r="G11" s="92">
        <v>353</v>
      </c>
      <c r="H11" s="92">
        <v>163</v>
      </c>
      <c r="I11" s="92"/>
      <c r="J11" s="50">
        <f t="shared" si="0"/>
        <v>2.2080000000000002</v>
      </c>
      <c r="K11" s="50">
        <v>6</v>
      </c>
      <c r="L11" s="49">
        <f t="shared" si="1"/>
        <v>0.36799999999999999</v>
      </c>
      <c r="M11" s="48">
        <f t="shared" si="2"/>
        <v>368</v>
      </c>
      <c r="N11" s="52" t="s">
        <v>98</v>
      </c>
      <c r="O11" s="75"/>
      <c r="P11" s="75"/>
    </row>
    <row r="12" spans="1:16">
      <c r="A12" s="67" t="s">
        <v>12</v>
      </c>
      <c r="B12" s="67" t="s">
        <v>183</v>
      </c>
      <c r="C12" s="92">
        <v>757</v>
      </c>
      <c r="D12" s="92">
        <v>744</v>
      </c>
      <c r="E12" s="92">
        <v>649</v>
      </c>
      <c r="F12" s="92">
        <v>235</v>
      </c>
      <c r="G12" s="92">
        <v>741</v>
      </c>
      <c r="H12" s="92">
        <v>470</v>
      </c>
      <c r="I12" s="92"/>
      <c r="J12" s="50">
        <f t="shared" si="0"/>
        <v>4.5419999999999998</v>
      </c>
      <c r="K12" s="50">
        <v>6</v>
      </c>
      <c r="L12" s="49">
        <f t="shared" si="1"/>
        <v>0.75700000000000001</v>
      </c>
      <c r="M12" s="48">
        <f t="shared" si="2"/>
        <v>757</v>
      </c>
      <c r="N12" s="52" t="s">
        <v>184</v>
      </c>
      <c r="O12" s="75"/>
      <c r="P12" s="75"/>
    </row>
    <row r="13" spans="1:16">
      <c r="A13" s="67" t="s">
        <v>12</v>
      </c>
      <c r="B13" s="67" t="s">
        <v>1923</v>
      </c>
      <c r="C13" s="92">
        <v>1583</v>
      </c>
      <c r="D13" s="92">
        <v>1567</v>
      </c>
      <c r="E13" s="92">
        <v>1315</v>
      </c>
      <c r="F13" s="92">
        <v>455</v>
      </c>
      <c r="G13" s="92">
        <v>1539</v>
      </c>
      <c r="H13" s="92">
        <v>944</v>
      </c>
      <c r="I13" s="92"/>
      <c r="J13" s="50">
        <f t="shared" si="0"/>
        <v>9.4979999999999993</v>
      </c>
      <c r="K13" s="50">
        <v>6</v>
      </c>
      <c r="L13" s="49">
        <f t="shared" si="1"/>
        <v>1.583</v>
      </c>
      <c r="M13" s="48">
        <f t="shared" si="2"/>
        <v>1583</v>
      </c>
      <c r="N13" s="52" t="s">
        <v>251</v>
      </c>
      <c r="O13" s="75"/>
      <c r="P13" s="75"/>
    </row>
    <row r="14" spans="1:16">
      <c r="A14" s="67" t="s">
        <v>12</v>
      </c>
      <c r="B14" s="67" t="s">
        <v>263</v>
      </c>
      <c r="C14" s="92">
        <v>526</v>
      </c>
      <c r="D14" s="92">
        <v>502</v>
      </c>
      <c r="E14" s="92">
        <v>302</v>
      </c>
      <c r="F14" s="92">
        <v>93</v>
      </c>
      <c r="G14" s="92">
        <v>490</v>
      </c>
      <c r="H14" s="92">
        <v>198</v>
      </c>
      <c r="I14" s="92"/>
      <c r="J14" s="50">
        <f t="shared" si="0"/>
        <v>3.1560000000000001</v>
      </c>
      <c r="K14" s="50">
        <v>6</v>
      </c>
      <c r="L14" s="49">
        <f t="shared" si="1"/>
        <v>0.52600000000000002</v>
      </c>
      <c r="M14" s="48">
        <f t="shared" si="2"/>
        <v>526</v>
      </c>
      <c r="N14" s="52" t="s">
        <v>264</v>
      </c>
      <c r="O14" s="75"/>
      <c r="P14" s="75"/>
    </row>
    <row r="15" spans="1:16">
      <c r="A15" s="67" t="s">
        <v>12</v>
      </c>
      <c r="B15" s="67" t="s">
        <v>277</v>
      </c>
      <c r="C15" s="90">
        <v>584</v>
      </c>
      <c r="D15" s="90">
        <v>571</v>
      </c>
      <c r="E15" s="90">
        <v>441</v>
      </c>
      <c r="F15" s="90">
        <v>146</v>
      </c>
      <c r="G15" s="90">
        <v>563</v>
      </c>
      <c r="H15" s="90">
        <v>330</v>
      </c>
      <c r="I15" s="92"/>
      <c r="J15" s="51">
        <f t="shared" si="0"/>
        <v>3.5039999999999996</v>
      </c>
      <c r="K15" s="50">
        <v>6</v>
      </c>
      <c r="L15" s="49">
        <f t="shared" si="1"/>
        <v>0.58399999999999996</v>
      </c>
      <c r="M15" s="48">
        <f t="shared" si="2"/>
        <v>584</v>
      </c>
      <c r="N15" s="52" t="s">
        <v>2135</v>
      </c>
      <c r="O15" s="75"/>
      <c r="P15" s="75"/>
    </row>
    <row r="16" spans="1:16">
      <c r="A16" s="67" t="s">
        <v>12</v>
      </c>
      <c r="B16" s="67" t="s">
        <v>281</v>
      </c>
      <c r="C16" s="90">
        <v>393</v>
      </c>
      <c r="D16" s="90">
        <v>374</v>
      </c>
      <c r="E16" s="90">
        <v>277</v>
      </c>
      <c r="F16" s="90">
        <v>83</v>
      </c>
      <c r="G16" s="90">
        <v>349</v>
      </c>
      <c r="H16" s="90">
        <v>185</v>
      </c>
      <c r="I16" s="92"/>
      <c r="J16" s="51">
        <f t="shared" si="0"/>
        <v>2.3580000000000001</v>
      </c>
      <c r="K16" s="50">
        <v>6</v>
      </c>
      <c r="L16" s="49">
        <f t="shared" si="1"/>
        <v>0.39300000000000002</v>
      </c>
      <c r="M16" s="48">
        <f t="shared" si="2"/>
        <v>393</v>
      </c>
      <c r="N16" s="52" t="s">
        <v>2134</v>
      </c>
      <c r="O16" s="75"/>
      <c r="P16" s="75"/>
    </row>
    <row r="17" spans="1:16">
      <c r="A17" s="67" t="s">
        <v>12</v>
      </c>
      <c r="B17" s="67" t="s">
        <v>310</v>
      </c>
      <c r="C17" s="90">
        <v>306</v>
      </c>
      <c r="D17" s="90">
        <v>295</v>
      </c>
      <c r="E17" s="90">
        <v>203</v>
      </c>
      <c r="F17" s="90">
        <v>84</v>
      </c>
      <c r="G17" s="90">
        <v>280</v>
      </c>
      <c r="H17" s="90">
        <v>150</v>
      </c>
      <c r="I17" s="92"/>
      <c r="J17" s="51">
        <f t="shared" si="0"/>
        <v>1.8359999999999999</v>
      </c>
      <c r="K17" s="50">
        <v>6</v>
      </c>
      <c r="L17" s="49">
        <f t="shared" si="1"/>
        <v>0.30599999999999999</v>
      </c>
      <c r="M17" s="48">
        <f t="shared" si="2"/>
        <v>306</v>
      </c>
      <c r="N17" s="52" t="s">
        <v>2133</v>
      </c>
      <c r="O17" s="75"/>
      <c r="P17" s="75"/>
    </row>
    <row r="18" spans="1:16">
      <c r="A18" s="67" t="s">
        <v>12</v>
      </c>
      <c r="B18" s="67" t="s">
        <v>315</v>
      </c>
      <c r="C18" s="90">
        <v>338</v>
      </c>
      <c r="D18" s="90">
        <v>324</v>
      </c>
      <c r="E18" s="90">
        <v>225</v>
      </c>
      <c r="F18" s="90">
        <v>70</v>
      </c>
      <c r="G18" s="90">
        <v>308</v>
      </c>
      <c r="H18" s="90">
        <v>155</v>
      </c>
      <c r="I18" s="92"/>
      <c r="J18" s="51">
        <f t="shared" si="0"/>
        <v>2.028</v>
      </c>
      <c r="K18" s="50">
        <v>6</v>
      </c>
      <c r="L18" s="49">
        <f t="shared" si="1"/>
        <v>0.33800000000000002</v>
      </c>
      <c r="M18" s="48">
        <f t="shared" si="2"/>
        <v>338</v>
      </c>
      <c r="N18" s="52" t="s">
        <v>2132</v>
      </c>
      <c r="O18" s="75"/>
      <c r="P18" s="75"/>
    </row>
    <row r="19" spans="1:16">
      <c r="A19" s="67" t="s">
        <v>12</v>
      </c>
      <c r="B19" s="67" t="s">
        <v>361</v>
      </c>
      <c r="C19" s="90">
        <v>1116</v>
      </c>
      <c r="D19" s="90">
        <v>1094</v>
      </c>
      <c r="E19" s="90">
        <v>902</v>
      </c>
      <c r="F19" s="90">
        <v>283</v>
      </c>
      <c r="G19" s="90">
        <v>1070</v>
      </c>
      <c r="H19" s="90">
        <v>607</v>
      </c>
      <c r="I19" s="92"/>
      <c r="J19" s="51">
        <f t="shared" si="0"/>
        <v>6.6960000000000006</v>
      </c>
      <c r="K19" s="50">
        <v>6</v>
      </c>
      <c r="L19" s="49">
        <f t="shared" si="1"/>
        <v>1.1160000000000001</v>
      </c>
      <c r="M19" s="48">
        <f t="shared" si="2"/>
        <v>1116</v>
      </c>
      <c r="N19" s="52" t="s">
        <v>2131</v>
      </c>
      <c r="O19" s="75"/>
      <c r="P19" s="75"/>
    </row>
    <row r="20" spans="1:16">
      <c r="A20" s="67" t="s">
        <v>12</v>
      </c>
      <c r="B20" s="67" t="s">
        <v>364</v>
      </c>
      <c r="C20" s="90">
        <v>482</v>
      </c>
      <c r="D20" s="90">
        <v>475</v>
      </c>
      <c r="E20" s="90">
        <v>401</v>
      </c>
      <c r="F20" s="90">
        <v>135</v>
      </c>
      <c r="G20" s="90">
        <v>475</v>
      </c>
      <c r="H20" s="90">
        <v>255</v>
      </c>
      <c r="I20" s="92"/>
      <c r="J20" s="51">
        <f t="shared" si="0"/>
        <v>2.8919999999999999</v>
      </c>
      <c r="K20" s="50">
        <v>6</v>
      </c>
      <c r="L20" s="49">
        <f t="shared" si="1"/>
        <v>0.48199999999999998</v>
      </c>
      <c r="M20" s="48">
        <f t="shared" si="2"/>
        <v>482</v>
      </c>
      <c r="N20" s="52" t="s">
        <v>2130</v>
      </c>
      <c r="O20" s="75"/>
      <c r="P20" s="75"/>
    </row>
    <row r="21" spans="1:16">
      <c r="A21" s="67" t="s">
        <v>12</v>
      </c>
      <c r="B21" s="67" t="s">
        <v>365</v>
      </c>
      <c r="C21" s="90">
        <v>678</v>
      </c>
      <c r="D21" s="90">
        <v>665</v>
      </c>
      <c r="E21" s="90">
        <v>516</v>
      </c>
      <c r="F21" s="90">
        <v>154</v>
      </c>
      <c r="G21" s="90">
        <v>661</v>
      </c>
      <c r="H21" s="90">
        <v>337</v>
      </c>
      <c r="I21" s="92"/>
      <c r="J21" s="51">
        <f t="shared" si="0"/>
        <v>4.0680000000000005</v>
      </c>
      <c r="K21" s="50">
        <v>6</v>
      </c>
      <c r="L21" s="49">
        <f t="shared" si="1"/>
        <v>0.67800000000000005</v>
      </c>
      <c r="M21" s="48">
        <f t="shared" si="2"/>
        <v>678</v>
      </c>
      <c r="N21" s="52" t="s">
        <v>2129</v>
      </c>
      <c r="O21" s="75"/>
      <c r="P21" s="75"/>
    </row>
    <row r="22" spans="1:16">
      <c r="A22" s="67" t="s">
        <v>12</v>
      </c>
      <c r="B22" s="67" t="s">
        <v>1924</v>
      </c>
      <c r="C22" s="90">
        <v>373</v>
      </c>
      <c r="D22" s="90">
        <v>337</v>
      </c>
      <c r="E22" s="90">
        <v>243</v>
      </c>
      <c r="F22" s="90">
        <v>58</v>
      </c>
      <c r="G22" s="90">
        <v>351</v>
      </c>
      <c r="H22" s="90">
        <v>133</v>
      </c>
      <c r="I22" s="92"/>
      <c r="J22" s="51">
        <f t="shared" si="0"/>
        <v>2.238</v>
      </c>
      <c r="K22" s="50">
        <v>6</v>
      </c>
      <c r="L22" s="49">
        <f t="shared" si="1"/>
        <v>0.373</v>
      </c>
      <c r="M22" s="48">
        <f t="shared" si="2"/>
        <v>373</v>
      </c>
      <c r="N22" s="52" t="s">
        <v>2128</v>
      </c>
      <c r="O22" s="75"/>
      <c r="P22" s="75"/>
    </row>
    <row r="23" spans="1:16">
      <c r="A23" s="67" t="s">
        <v>12</v>
      </c>
      <c r="B23" s="67" t="s">
        <v>418</v>
      </c>
      <c r="C23" s="90">
        <v>516</v>
      </c>
      <c r="D23" s="90">
        <v>513</v>
      </c>
      <c r="E23" s="90">
        <v>472</v>
      </c>
      <c r="F23" s="90">
        <v>188</v>
      </c>
      <c r="G23" s="90">
        <v>503</v>
      </c>
      <c r="H23" s="90">
        <v>367</v>
      </c>
      <c r="I23" s="92"/>
      <c r="J23" s="51">
        <f t="shared" si="0"/>
        <v>3.0960000000000001</v>
      </c>
      <c r="K23" s="50">
        <v>6</v>
      </c>
      <c r="L23" s="49">
        <f t="shared" si="1"/>
        <v>0.51600000000000001</v>
      </c>
      <c r="M23" s="48">
        <f t="shared" si="2"/>
        <v>516</v>
      </c>
      <c r="N23" s="52" t="s">
        <v>2127</v>
      </c>
      <c r="O23" s="75"/>
      <c r="P23" s="75"/>
    </row>
    <row r="24" spans="1:16">
      <c r="A24" s="67" t="s">
        <v>12</v>
      </c>
      <c r="B24" s="67" t="s">
        <v>1925</v>
      </c>
      <c r="C24" s="90">
        <v>403</v>
      </c>
      <c r="D24" s="90">
        <v>396</v>
      </c>
      <c r="E24" s="90">
        <v>303</v>
      </c>
      <c r="F24" s="90">
        <v>84</v>
      </c>
      <c r="G24" s="90">
        <v>391</v>
      </c>
      <c r="H24" s="90">
        <v>183</v>
      </c>
      <c r="I24" s="92"/>
      <c r="J24" s="51">
        <f t="shared" si="0"/>
        <v>2.4180000000000001</v>
      </c>
      <c r="K24" s="50">
        <v>6</v>
      </c>
      <c r="L24" s="49">
        <f t="shared" si="1"/>
        <v>0.40300000000000002</v>
      </c>
      <c r="M24" s="48">
        <f t="shared" si="2"/>
        <v>403</v>
      </c>
      <c r="N24" s="52" t="s">
        <v>2126</v>
      </c>
      <c r="O24" s="75"/>
      <c r="P24" s="75"/>
    </row>
    <row r="25" spans="1:16">
      <c r="A25" s="67" t="s">
        <v>12</v>
      </c>
      <c r="B25" s="67" t="s">
        <v>1926</v>
      </c>
      <c r="C25" s="90">
        <v>594</v>
      </c>
      <c r="D25" s="90">
        <v>584</v>
      </c>
      <c r="E25" s="90">
        <v>440</v>
      </c>
      <c r="F25" s="90">
        <v>107</v>
      </c>
      <c r="G25" s="90">
        <v>565</v>
      </c>
      <c r="H25" s="90">
        <v>270</v>
      </c>
      <c r="I25" s="92"/>
      <c r="J25" s="51">
        <f t="shared" si="0"/>
        <v>3.5640000000000001</v>
      </c>
      <c r="K25" s="50">
        <v>6</v>
      </c>
      <c r="L25" s="49">
        <f t="shared" si="1"/>
        <v>0.59399999999999997</v>
      </c>
      <c r="M25" s="48">
        <f t="shared" si="2"/>
        <v>594</v>
      </c>
      <c r="N25" s="52" t="s">
        <v>2125</v>
      </c>
      <c r="O25" s="75"/>
      <c r="P25" s="75"/>
    </row>
    <row r="26" spans="1:16">
      <c r="A26" s="67" t="s">
        <v>12</v>
      </c>
      <c r="B26" s="67" t="s">
        <v>1927</v>
      </c>
      <c r="C26" s="90">
        <v>1083</v>
      </c>
      <c r="D26" s="90">
        <v>1060</v>
      </c>
      <c r="E26" s="90">
        <v>931</v>
      </c>
      <c r="F26" s="90">
        <v>364</v>
      </c>
      <c r="G26" s="90">
        <v>1064</v>
      </c>
      <c r="H26" s="90">
        <v>710</v>
      </c>
      <c r="I26" s="92"/>
      <c r="J26" s="51">
        <f t="shared" si="0"/>
        <v>6.4979999999999993</v>
      </c>
      <c r="K26" s="50">
        <v>6</v>
      </c>
      <c r="L26" s="49">
        <f t="shared" si="1"/>
        <v>1.083</v>
      </c>
      <c r="M26" s="48">
        <f t="shared" si="2"/>
        <v>1083</v>
      </c>
      <c r="N26" s="52" t="s">
        <v>2124</v>
      </c>
      <c r="O26" s="75"/>
      <c r="P26" s="75"/>
    </row>
    <row r="27" spans="1:16">
      <c r="A27" s="67" t="s">
        <v>12</v>
      </c>
      <c r="B27" s="67" t="s">
        <v>507</v>
      </c>
      <c r="C27" s="90">
        <v>822</v>
      </c>
      <c r="D27" s="90">
        <v>815</v>
      </c>
      <c r="E27" s="90">
        <v>711</v>
      </c>
      <c r="F27" s="90">
        <v>183</v>
      </c>
      <c r="G27" s="90">
        <v>807</v>
      </c>
      <c r="H27" s="90">
        <v>431</v>
      </c>
      <c r="I27" s="92"/>
      <c r="J27" s="51">
        <f t="shared" si="0"/>
        <v>4.9319999999999995</v>
      </c>
      <c r="K27" s="50">
        <v>6</v>
      </c>
      <c r="L27" s="49">
        <f t="shared" si="1"/>
        <v>0.82199999999999995</v>
      </c>
      <c r="M27" s="48">
        <f t="shared" si="2"/>
        <v>822</v>
      </c>
      <c r="N27" s="52" t="s">
        <v>2123</v>
      </c>
      <c r="O27" s="75"/>
      <c r="P27" s="75"/>
    </row>
    <row r="28" spans="1:16">
      <c r="A28" s="67" t="s">
        <v>12</v>
      </c>
      <c r="B28" s="67" t="s">
        <v>524</v>
      </c>
      <c r="C28" s="90">
        <v>803</v>
      </c>
      <c r="D28" s="90">
        <v>794</v>
      </c>
      <c r="E28" s="90">
        <v>697</v>
      </c>
      <c r="F28" s="90">
        <v>252</v>
      </c>
      <c r="G28" s="90">
        <v>780</v>
      </c>
      <c r="H28" s="90">
        <v>513</v>
      </c>
      <c r="I28" s="92"/>
      <c r="J28" s="51">
        <f t="shared" si="0"/>
        <v>4.8180000000000005</v>
      </c>
      <c r="K28" s="50">
        <v>6</v>
      </c>
      <c r="L28" s="49">
        <f t="shared" si="1"/>
        <v>0.80300000000000005</v>
      </c>
      <c r="M28" s="48">
        <f t="shared" si="2"/>
        <v>803</v>
      </c>
      <c r="N28" s="52" t="s">
        <v>2122</v>
      </c>
      <c r="O28" s="75"/>
      <c r="P28" s="75"/>
    </row>
    <row r="29" spans="1:16">
      <c r="A29" s="67" t="s">
        <v>12</v>
      </c>
      <c r="B29" s="67" t="s">
        <v>1928</v>
      </c>
      <c r="C29" s="90">
        <v>311</v>
      </c>
      <c r="D29" s="90">
        <v>304</v>
      </c>
      <c r="E29" s="90">
        <v>203</v>
      </c>
      <c r="F29" s="90">
        <v>47</v>
      </c>
      <c r="G29" s="90">
        <v>279</v>
      </c>
      <c r="H29" s="90">
        <v>106</v>
      </c>
      <c r="I29" s="92"/>
      <c r="J29" s="51">
        <f t="shared" si="0"/>
        <v>1.8660000000000001</v>
      </c>
      <c r="K29" s="50">
        <v>6</v>
      </c>
      <c r="L29" s="49">
        <f t="shared" si="1"/>
        <v>0.311</v>
      </c>
      <c r="M29" s="48">
        <f t="shared" si="2"/>
        <v>311</v>
      </c>
      <c r="N29" s="52" t="s">
        <v>2121</v>
      </c>
      <c r="O29" s="75"/>
      <c r="P29" s="75"/>
    </row>
    <row r="30" spans="1:16">
      <c r="A30" s="67" t="s">
        <v>12</v>
      </c>
      <c r="B30" s="67" t="s">
        <v>1929</v>
      </c>
      <c r="C30" s="90">
        <v>504</v>
      </c>
      <c r="D30" s="90">
        <v>486</v>
      </c>
      <c r="E30" s="90">
        <v>365</v>
      </c>
      <c r="F30" s="90">
        <v>101</v>
      </c>
      <c r="G30" s="90">
        <v>480</v>
      </c>
      <c r="H30" s="90">
        <v>241</v>
      </c>
      <c r="I30" s="92"/>
      <c r="J30" s="51">
        <f t="shared" si="0"/>
        <v>3.024</v>
      </c>
      <c r="K30" s="50">
        <v>6</v>
      </c>
      <c r="L30" s="49">
        <f t="shared" si="1"/>
        <v>0.504</v>
      </c>
      <c r="M30" s="48">
        <f t="shared" si="2"/>
        <v>504</v>
      </c>
      <c r="N30" s="52" t="s">
        <v>2120</v>
      </c>
      <c r="O30" s="75"/>
      <c r="P30" s="75"/>
    </row>
    <row r="31" spans="1:16">
      <c r="A31" s="67" t="s">
        <v>12</v>
      </c>
      <c r="B31" s="67" t="s">
        <v>622</v>
      </c>
      <c r="C31" s="90">
        <v>1568</v>
      </c>
      <c r="D31" s="90">
        <v>1552</v>
      </c>
      <c r="E31" s="90">
        <v>1310</v>
      </c>
      <c r="F31" s="90">
        <v>379</v>
      </c>
      <c r="G31" s="90">
        <v>1533</v>
      </c>
      <c r="H31" s="90">
        <v>854</v>
      </c>
      <c r="I31" s="92"/>
      <c r="J31" s="51">
        <f t="shared" si="0"/>
        <v>9.4080000000000013</v>
      </c>
      <c r="K31" s="50">
        <v>6</v>
      </c>
      <c r="L31" s="49">
        <f t="shared" si="1"/>
        <v>1.5680000000000001</v>
      </c>
      <c r="M31" s="48">
        <f t="shared" si="2"/>
        <v>1568</v>
      </c>
      <c r="N31" s="47" t="s">
        <v>623</v>
      </c>
      <c r="O31" s="75"/>
      <c r="P31" s="75"/>
    </row>
    <row r="32" spans="1:16">
      <c r="A32" s="67" t="s">
        <v>12</v>
      </c>
      <c r="B32" s="67" t="s">
        <v>633</v>
      </c>
      <c r="C32" s="90">
        <v>310</v>
      </c>
      <c r="D32" s="90">
        <v>306</v>
      </c>
      <c r="E32" s="90">
        <v>241</v>
      </c>
      <c r="F32" s="90">
        <v>62</v>
      </c>
      <c r="G32" s="90">
        <v>299</v>
      </c>
      <c r="H32" s="90">
        <v>146</v>
      </c>
      <c r="I32" s="92"/>
      <c r="J32" s="51">
        <f t="shared" si="0"/>
        <v>1.8599999999999999</v>
      </c>
      <c r="K32" s="50">
        <v>6</v>
      </c>
      <c r="L32" s="49">
        <f t="shared" si="1"/>
        <v>0.31</v>
      </c>
      <c r="M32" s="48">
        <f t="shared" si="2"/>
        <v>310</v>
      </c>
      <c r="N32" s="52" t="s">
        <v>2119</v>
      </c>
      <c r="O32" s="75"/>
      <c r="P32" s="75"/>
    </row>
    <row r="33" spans="1:16">
      <c r="A33" s="67" t="s">
        <v>12</v>
      </c>
      <c r="B33" s="67" t="s">
        <v>676</v>
      </c>
      <c r="C33" s="90">
        <v>1129</v>
      </c>
      <c r="D33" s="90">
        <v>1108</v>
      </c>
      <c r="E33" s="90">
        <v>969</v>
      </c>
      <c r="F33" s="90">
        <v>317</v>
      </c>
      <c r="G33" s="90">
        <v>1103</v>
      </c>
      <c r="H33" s="90">
        <v>702</v>
      </c>
      <c r="I33" s="92"/>
      <c r="J33" s="51">
        <f t="shared" si="0"/>
        <v>6.774</v>
      </c>
      <c r="K33" s="50">
        <v>6</v>
      </c>
      <c r="L33" s="49">
        <f t="shared" si="1"/>
        <v>1.129</v>
      </c>
      <c r="M33" s="48">
        <f t="shared" si="2"/>
        <v>1129</v>
      </c>
      <c r="N33" s="47" t="s">
        <v>677</v>
      </c>
      <c r="O33" s="75"/>
      <c r="P33" s="75"/>
    </row>
    <row r="34" spans="1:16">
      <c r="A34" s="67" t="s">
        <v>12</v>
      </c>
      <c r="B34" s="67" t="s">
        <v>692</v>
      </c>
      <c r="C34" s="90">
        <v>1699</v>
      </c>
      <c r="D34" s="90">
        <v>1678</v>
      </c>
      <c r="E34" s="90">
        <v>1458</v>
      </c>
      <c r="F34" s="90">
        <v>522</v>
      </c>
      <c r="G34" s="90">
        <v>1666</v>
      </c>
      <c r="H34" s="90">
        <v>1071</v>
      </c>
      <c r="I34" s="92"/>
      <c r="J34" s="51">
        <f t="shared" ref="J34:J65" si="3">+K34*L34</f>
        <v>10.194000000000001</v>
      </c>
      <c r="K34" s="50">
        <v>6</v>
      </c>
      <c r="L34" s="49">
        <f t="shared" ref="L34:L65" si="4">+M34/1000</f>
        <v>1.6990000000000001</v>
      </c>
      <c r="M34" s="48">
        <f t="shared" ref="M34:M65" si="5">+C34</f>
        <v>1699</v>
      </c>
      <c r="N34" s="47" t="s">
        <v>693</v>
      </c>
      <c r="O34" s="75"/>
      <c r="P34" s="75"/>
    </row>
    <row r="35" spans="1:16">
      <c r="A35" s="67" t="s">
        <v>12</v>
      </c>
      <c r="B35" s="67" t="s">
        <v>1930</v>
      </c>
      <c r="C35" s="90">
        <v>551</v>
      </c>
      <c r="D35" s="90">
        <v>536</v>
      </c>
      <c r="E35" s="90">
        <v>463</v>
      </c>
      <c r="F35" s="90">
        <v>174</v>
      </c>
      <c r="G35" s="90">
        <v>540</v>
      </c>
      <c r="H35" s="90">
        <v>330</v>
      </c>
      <c r="I35" s="92"/>
      <c r="J35" s="51">
        <f t="shared" si="3"/>
        <v>3.306</v>
      </c>
      <c r="K35" s="50">
        <v>6</v>
      </c>
      <c r="L35" s="49">
        <f t="shared" si="4"/>
        <v>0.55100000000000005</v>
      </c>
      <c r="M35" s="48">
        <f t="shared" si="5"/>
        <v>551</v>
      </c>
      <c r="N35" s="88" t="s">
        <v>2118</v>
      </c>
      <c r="O35" s="75"/>
      <c r="P35" s="75"/>
    </row>
    <row r="36" spans="1:16">
      <c r="A36" s="67" t="s">
        <v>12</v>
      </c>
      <c r="B36" s="67" t="s">
        <v>709</v>
      </c>
      <c r="C36" s="90">
        <v>586</v>
      </c>
      <c r="D36" s="90">
        <v>580</v>
      </c>
      <c r="E36" s="90">
        <v>492</v>
      </c>
      <c r="F36" s="90">
        <v>141</v>
      </c>
      <c r="G36" s="90">
        <v>568</v>
      </c>
      <c r="H36" s="90">
        <v>327</v>
      </c>
      <c r="I36" s="92"/>
      <c r="J36" s="51">
        <f t="shared" si="3"/>
        <v>3.516</v>
      </c>
      <c r="K36" s="50">
        <v>6</v>
      </c>
      <c r="L36" s="49">
        <f t="shared" si="4"/>
        <v>0.58599999999999997</v>
      </c>
      <c r="M36" s="48">
        <f t="shared" si="5"/>
        <v>586</v>
      </c>
      <c r="N36" s="52" t="s">
        <v>2117</v>
      </c>
      <c r="O36" s="75"/>
      <c r="P36" s="75"/>
    </row>
    <row r="37" spans="1:16">
      <c r="A37" s="67" t="s">
        <v>12</v>
      </c>
      <c r="B37" s="67" t="s">
        <v>722</v>
      </c>
      <c r="C37" s="90">
        <v>322</v>
      </c>
      <c r="D37" s="90">
        <v>313</v>
      </c>
      <c r="E37" s="90">
        <v>247</v>
      </c>
      <c r="F37" s="90">
        <v>76</v>
      </c>
      <c r="G37" s="90">
        <v>314</v>
      </c>
      <c r="H37" s="90">
        <v>162</v>
      </c>
      <c r="I37" s="92"/>
      <c r="J37" s="51">
        <f t="shared" si="3"/>
        <v>1.9319999999999999</v>
      </c>
      <c r="K37" s="50">
        <v>6</v>
      </c>
      <c r="L37" s="49">
        <f t="shared" si="4"/>
        <v>0.32200000000000001</v>
      </c>
      <c r="M37" s="48">
        <f t="shared" si="5"/>
        <v>322</v>
      </c>
      <c r="N37" s="52" t="s">
        <v>2116</v>
      </c>
      <c r="O37" s="75"/>
      <c r="P37" s="75"/>
    </row>
    <row r="38" spans="1:16">
      <c r="A38" s="67" t="s">
        <v>12</v>
      </c>
      <c r="B38" s="67" t="s">
        <v>723</v>
      </c>
      <c r="C38" s="90">
        <v>581</v>
      </c>
      <c r="D38" s="90">
        <v>568</v>
      </c>
      <c r="E38" s="90">
        <v>512</v>
      </c>
      <c r="F38" s="90">
        <v>142</v>
      </c>
      <c r="G38" s="90">
        <v>569</v>
      </c>
      <c r="H38" s="90">
        <v>313</v>
      </c>
      <c r="I38" s="92"/>
      <c r="J38" s="51">
        <f t="shared" si="3"/>
        <v>3.4859999999999998</v>
      </c>
      <c r="K38" s="50">
        <v>6</v>
      </c>
      <c r="L38" s="49">
        <f t="shared" si="4"/>
        <v>0.58099999999999996</v>
      </c>
      <c r="M38" s="48">
        <f t="shared" si="5"/>
        <v>581</v>
      </c>
      <c r="N38" s="52" t="s">
        <v>2115</v>
      </c>
      <c r="O38" s="75"/>
      <c r="P38" s="75"/>
    </row>
    <row r="39" spans="1:16">
      <c r="A39" s="67" t="s">
        <v>12</v>
      </c>
      <c r="B39" s="67" t="s">
        <v>1931</v>
      </c>
      <c r="C39" s="90">
        <v>445</v>
      </c>
      <c r="D39" s="90">
        <v>434</v>
      </c>
      <c r="E39" s="90">
        <v>367</v>
      </c>
      <c r="F39" s="90">
        <v>127</v>
      </c>
      <c r="G39" s="90">
        <v>433</v>
      </c>
      <c r="H39" s="90">
        <v>278</v>
      </c>
      <c r="I39" s="92"/>
      <c r="J39" s="51">
        <f t="shared" si="3"/>
        <v>2.67</v>
      </c>
      <c r="K39" s="50">
        <v>6</v>
      </c>
      <c r="L39" s="49">
        <f t="shared" si="4"/>
        <v>0.44500000000000001</v>
      </c>
      <c r="M39" s="48">
        <f t="shared" si="5"/>
        <v>445</v>
      </c>
      <c r="N39" s="52" t="s">
        <v>2114</v>
      </c>
      <c r="O39" s="75"/>
      <c r="P39" s="75"/>
    </row>
    <row r="40" spans="1:16">
      <c r="A40" s="67" t="s">
        <v>12</v>
      </c>
      <c r="B40" s="67" t="s">
        <v>818</v>
      </c>
      <c r="C40" s="90">
        <v>370</v>
      </c>
      <c r="D40" s="90">
        <v>356</v>
      </c>
      <c r="E40" s="90">
        <v>284</v>
      </c>
      <c r="F40" s="90">
        <v>55</v>
      </c>
      <c r="G40" s="90">
        <v>356</v>
      </c>
      <c r="H40" s="90">
        <v>150</v>
      </c>
      <c r="I40" s="92"/>
      <c r="J40" s="51">
        <f t="shared" si="3"/>
        <v>2.2199999999999998</v>
      </c>
      <c r="K40" s="50">
        <v>6</v>
      </c>
      <c r="L40" s="49">
        <f t="shared" si="4"/>
        <v>0.37</v>
      </c>
      <c r="M40" s="48">
        <f t="shared" si="5"/>
        <v>370</v>
      </c>
      <c r="N40" s="52" t="s">
        <v>2113</v>
      </c>
      <c r="O40" s="75"/>
      <c r="P40" s="75"/>
    </row>
    <row r="41" spans="1:16">
      <c r="A41" s="67" t="s">
        <v>12</v>
      </c>
      <c r="B41" s="67" t="s">
        <v>1970</v>
      </c>
      <c r="C41" s="90">
        <v>650</v>
      </c>
      <c r="D41" s="90">
        <v>639</v>
      </c>
      <c r="E41" s="90">
        <v>558</v>
      </c>
      <c r="F41" s="90">
        <v>238</v>
      </c>
      <c r="G41" s="90">
        <v>638</v>
      </c>
      <c r="H41" s="90">
        <v>475</v>
      </c>
      <c r="I41" s="92"/>
      <c r="J41" s="51">
        <f t="shared" si="3"/>
        <v>3.9000000000000004</v>
      </c>
      <c r="K41" s="50">
        <v>6</v>
      </c>
      <c r="L41" s="49">
        <f t="shared" si="4"/>
        <v>0.65</v>
      </c>
      <c r="M41" s="48">
        <f t="shared" si="5"/>
        <v>650</v>
      </c>
      <c r="N41" s="52" t="s">
        <v>2112</v>
      </c>
      <c r="O41" s="75"/>
      <c r="P41" s="75"/>
    </row>
    <row r="42" spans="1:16">
      <c r="A42" s="67" t="s">
        <v>12</v>
      </c>
      <c r="B42" s="67" t="s">
        <v>942</v>
      </c>
      <c r="C42" s="90">
        <v>3519</v>
      </c>
      <c r="D42" s="90">
        <v>3478</v>
      </c>
      <c r="E42" s="90">
        <v>2901</v>
      </c>
      <c r="F42" s="90">
        <v>932</v>
      </c>
      <c r="G42" s="90">
        <v>3425</v>
      </c>
      <c r="H42" s="90">
        <v>1894</v>
      </c>
      <c r="I42" s="92"/>
      <c r="J42" s="51">
        <f t="shared" si="3"/>
        <v>21.114000000000001</v>
      </c>
      <c r="K42" s="50">
        <v>6</v>
      </c>
      <c r="L42" s="49">
        <f t="shared" si="4"/>
        <v>3.5190000000000001</v>
      </c>
      <c r="M42" s="48">
        <f t="shared" si="5"/>
        <v>3519</v>
      </c>
      <c r="N42" s="47" t="s">
        <v>941</v>
      </c>
      <c r="O42" s="75"/>
      <c r="P42" s="75"/>
    </row>
    <row r="43" spans="1:16">
      <c r="A43" s="67" t="s">
        <v>12</v>
      </c>
      <c r="B43" s="67" t="s">
        <v>946</v>
      </c>
      <c r="C43" s="90">
        <v>361</v>
      </c>
      <c r="D43" s="90">
        <v>354</v>
      </c>
      <c r="E43" s="90">
        <v>279</v>
      </c>
      <c r="F43" s="90">
        <v>75</v>
      </c>
      <c r="G43" s="90">
        <v>361</v>
      </c>
      <c r="H43" s="90">
        <v>172</v>
      </c>
      <c r="I43" s="92"/>
      <c r="J43" s="51">
        <f t="shared" si="3"/>
        <v>2.1659999999999999</v>
      </c>
      <c r="K43" s="50">
        <v>6</v>
      </c>
      <c r="L43" s="49">
        <f t="shared" si="4"/>
        <v>0.36099999999999999</v>
      </c>
      <c r="M43" s="48">
        <f t="shared" si="5"/>
        <v>361</v>
      </c>
      <c r="N43" s="52" t="s">
        <v>2111</v>
      </c>
      <c r="O43" s="75"/>
      <c r="P43" s="75"/>
    </row>
    <row r="44" spans="1:16">
      <c r="A44" s="67" t="s">
        <v>12</v>
      </c>
      <c r="B44" s="67" t="s">
        <v>1305</v>
      </c>
      <c r="C44" s="90">
        <v>1235</v>
      </c>
      <c r="D44" s="90">
        <v>1223</v>
      </c>
      <c r="E44" s="90">
        <v>1044</v>
      </c>
      <c r="F44" s="90">
        <v>344</v>
      </c>
      <c r="G44" s="90">
        <v>1217</v>
      </c>
      <c r="H44" s="90">
        <v>728</v>
      </c>
      <c r="I44" s="92"/>
      <c r="J44" s="51">
        <f t="shared" si="3"/>
        <v>7.41</v>
      </c>
      <c r="K44" s="50">
        <v>6</v>
      </c>
      <c r="L44" s="49">
        <f t="shared" si="4"/>
        <v>1.2350000000000001</v>
      </c>
      <c r="M44" s="48">
        <f t="shared" si="5"/>
        <v>1235</v>
      </c>
      <c r="N44" s="52" t="s">
        <v>2110</v>
      </c>
      <c r="O44" s="75"/>
      <c r="P44" s="75"/>
    </row>
    <row r="45" spans="1:16">
      <c r="A45" s="67" t="s">
        <v>12</v>
      </c>
      <c r="B45" s="67" t="s">
        <v>1325</v>
      </c>
      <c r="C45" s="90">
        <v>739</v>
      </c>
      <c r="D45" s="90">
        <v>728</v>
      </c>
      <c r="E45" s="90">
        <v>591</v>
      </c>
      <c r="F45" s="90">
        <v>156</v>
      </c>
      <c r="G45" s="90">
        <v>726</v>
      </c>
      <c r="H45" s="90">
        <v>336</v>
      </c>
      <c r="I45" s="92"/>
      <c r="J45" s="51">
        <f t="shared" si="3"/>
        <v>4.4340000000000002</v>
      </c>
      <c r="K45" s="50">
        <v>6</v>
      </c>
      <c r="L45" s="49">
        <f t="shared" si="4"/>
        <v>0.73899999999999999</v>
      </c>
      <c r="M45" s="48">
        <f t="shared" si="5"/>
        <v>739</v>
      </c>
      <c r="N45" s="52" t="s">
        <v>2109</v>
      </c>
      <c r="O45" s="75"/>
      <c r="P45" s="75"/>
    </row>
    <row r="46" spans="1:16">
      <c r="A46" s="67" t="s">
        <v>12</v>
      </c>
      <c r="B46" s="67" t="s">
        <v>1337</v>
      </c>
      <c r="C46" s="90">
        <v>309</v>
      </c>
      <c r="D46" s="90">
        <v>302</v>
      </c>
      <c r="E46" s="90">
        <v>240</v>
      </c>
      <c r="F46" s="90">
        <v>62</v>
      </c>
      <c r="G46" s="90">
        <v>299</v>
      </c>
      <c r="H46" s="90">
        <v>166</v>
      </c>
      <c r="I46" s="92"/>
      <c r="J46" s="51">
        <f t="shared" si="3"/>
        <v>1.8540000000000001</v>
      </c>
      <c r="K46" s="50">
        <v>6</v>
      </c>
      <c r="L46" s="49">
        <f t="shared" si="4"/>
        <v>0.309</v>
      </c>
      <c r="M46" s="48">
        <f t="shared" si="5"/>
        <v>309</v>
      </c>
      <c r="N46" s="52" t="s">
        <v>2108</v>
      </c>
      <c r="O46" s="75"/>
      <c r="P46" s="75"/>
    </row>
    <row r="47" spans="1:16">
      <c r="A47" s="67" t="s">
        <v>12</v>
      </c>
      <c r="B47" s="67" t="s">
        <v>1414</v>
      </c>
      <c r="C47" s="90">
        <v>482</v>
      </c>
      <c r="D47" s="90">
        <v>466</v>
      </c>
      <c r="E47" s="90">
        <v>382</v>
      </c>
      <c r="F47" s="90">
        <v>119</v>
      </c>
      <c r="G47" s="90">
        <v>476</v>
      </c>
      <c r="H47" s="90">
        <v>262</v>
      </c>
      <c r="I47" s="92"/>
      <c r="J47" s="51">
        <f t="shared" si="3"/>
        <v>2.8919999999999999</v>
      </c>
      <c r="K47" s="50">
        <v>6</v>
      </c>
      <c r="L47" s="49">
        <f t="shared" si="4"/>
        <v>0.48199999999999998</v>
      </c>
      <c r="M47" s="48">
        <f t="shared" si="5"/>
        <v>482</v>
      </c>
      <c r="N47" s="52" t="s">
        <v>2107</v>
      </c>
      <c r="O47" s="75"/>
      <c r="P47" s="75"/>
    </row>
    <row r="48" spans="1:16">
      <c r="A48" s="67" t="s">
        <v>12</v>
      </c>
      <c r="B48" s="67" t="s">
        <v>1417</v>
      </c>
      <c r="C48" s="90">
        <v>929</v>
      </c>
      <c r="D48" s="90">
        <v>918</v>
      </c>
      <c r="E48" s="90">
        <v>803</v>
      </c>
      <c r="F48" s="90">
        <v>239</v>
      </c>
      <c r="G48" s="90">
        <v>922</v>
      </c>
      <c r="H48" s="90">
        <v>506</v>
      </c>
      <c r="I48" s="92"/>
      <c r="J48" s="51">
        <f t="shared" si="3"/>
        <v>5.5739999999999998</v>
      </c>
      <c r="K48" s="50">
        <v>6</v>
      </c>
      <c r="L48" s="49">
        <f t="shared" si="4"/>
        <v>0.92900000000000005</v>
      </c>
      <c r="M48" s="48">
        <f t="shared" si="5"/>
        <v>929</v>
      </c>
      <c r="N48" s="52" t="s">
        <v>2106</v>
      </c>
      <c r="O48" s="75"/>
      <c r="P48" s="75"/>
    </row>
    <row r="49" spans="1:16">
      <c r="A49" s="67" t="s">
        <v>12</v>
      </c>
      <c r="B49" s="67" t="s">
        <v>1424</v>
      </c>
      <c r="C49" s="90">
        <v>425</v>
      </c>
      <c r="D49" s="90">
        <v>422</v>
      </c>
      <c r="E49" s="90">
        <v>345</v>
      </c>
      <c r="F49" s="90">
        <v>106</v>
      </c>
      <c r="G49" s="90">
        <v>403</v>
      </c>
      <c r="H49" s="90">
        <v>231</v>
      </c>
      <c r="I49" s="92"/>
      <c r="J49" s="51">
        <f t="shared" si="3"/>
        <v>2.5499999999999998</v>
      </c>
      <c r="K49" s="50">
        <v>6</v>
      </c>
      <c r="L49" s="49">
        <f t="shared" si="4"/>
        <v>0.42499999999999999</v>
      </c>
      <c r="M49" s="48">
        <f t="shared" si="5"/>
        <v>425</v>
      </c>
      <c r="N49" s="52" t="s">
        <v>2105</v>
      </c>
      <c r="O49" s="75"/>
      <c r="P49" s="75"/>
    </row>
    <row r="50" spans="1:16">
      <c r="A50" s="67" t="s">
        <v>12</v>
      </c>
      <c r="B50" s="67" t="s">
        <v>1426</v>
      </c>
      <c r="C50" s="90">
        <v>2579</v>
      </c>
      <c r="D50" s="90">
        <v>2539</v>
      </c>
      <c r="E50" s="90">
        <v>2212</v>
      </c>
      <c r="F50" s="90">
        <v>887</v>
      </c>
      <c r="G50" s="90">
        <v>2532</v>
      </c>
      <c r="H50" s="90">
        <v>1830</v>
      </c>
      <c r="I50" s="92"/>
      <c r="J50" s="51">
        <f t="shared" si="3"/>
        <v>15.474</v>
      </c>
      <c r="K50" s="50">
        <v>6</v>
      </c>
      <c r="L50" s="49">
        <f t="shared" si="4"/>
        <v>2.5790000000000002</v>
      </c>
      <c r="M50" s="48">
        <f t="shared" si="5"/>
        <v>2579</v>
      </c>
      <c r="N50" s="47" t="s">
        <v>1427</v>
      </c>
      <c r="O50" s="75"/>
      <c r="P50" s="75"/>
    </row>
    <row r="51" spans="1:16">
      <c r="A51" s="67" t="s">
        <v>12</v>
      </c>
      <c r="B51" s="67" t="s">
        <v>1430</v>
      </c>
      <c r="C51" s="90">
        <v>624</v>
      </c>
      <c r="D51" s="90">
        <v>618</v>
      </c>
      <c r="E51" s="90">
        <v>533</v>
      </c>
      <c r="F51" s="90">
        <v>152</v>
      </c>
      <c r="G51" s="90">
        <v>603</v>
      </c>
      <c r="H51" s="90">
        <v>351</v>
      </c>
      <c r="I51" s="92"/>
      <c r="J51" s="51">
        <f t="shared" si="3"/>
        <v>3.7439999999999998</v>
      </c>
      <c r="K51" s="50">
        <v>6</v>
      </c>
      <c r="L51" s="49">
        <f t="shared" si="4"/>
        <v>0.624</v>
      </c>
      <c r="M51" s="48">
        <f t="shared" si="5"/>
        <v>624</v>
      </c>
      <c r="N51" s="52" t="s">
        <v>2104</v>
      </c>
      <c r="O51" s="75"/>
      <c r="P51" s="75"/>
    </row>
    <row r="52" spans="1:16">
      <c r="A52" s="67" t="s">
        <v>12</v>
      </c>
      <c r="B52" s="67" t="s">
        <v>1467</v>
      </c>
      <c r="C52" s="90">
        <v>483</v>
      </c>
      <c r="D52" s="90">
        <v>468</v>
      </c>
      <c r="E52" s="90">
        <v>402</v>
      </c>
      <c r="F52" s="90">
        <v>150</v>
      </c>
      <c r="G52" s="90">
        <v>481</v>
      </c>
      <c r="H52" s="90">
        <v>279</v>
      </c>
      <c r="I52" s="92"/>
      <c r="J52" s="51">
        <f t="shared" si="3"/>
        <v>2.8979999999999997</v>
      </c>
      <c r="K52" s="50">
        <v>6</v>
      </c>
      <c r="L52" s="49">
        <f t="shared" si="4"/>
        <v>0.48299999999999998</v>
      </c>
      <c r="M52" s="48">
        <f t="shared" si="5"/>
        <v>483</v>
      </c>
      <c r="N52" s="52" t="s">
        <v>2103</v>
      </c>
      <c r="O52" s="75"/>
      <c r="P52" s="75"/>
    </row>
    <row r="53" spans="1:16">
      <c r="A53" s="67" t="s">
        <v>12</v>
      </c>
      <c r="B53" s="67" t="s">
        <v>1932</v>
      </c>
      <c r="C53" s="90">
        <v>648</v>
      </c>
      <c r="D53" s="90">
        <v>638</v>
      </c>
      <c r="E53" s="90">
        <v>565</v>
      </c>
      <c r="F53" s="90">
        <v>220</v>
      </c>
      <c r="G53" s="90">
        <v>632</v>
      </c>
      <c r="H53" s="90">
        <v>437</v>
      </c>
      <c r="I53" s="92"/>
      <c r="J53" s="51">
        <f t="shared" si="3"/>
        <v>3.8879999999999999</v>
      </c>
      <c r="K53" s="50">
        <v>6</v>
      </c>
      <c r="L53" s="49">
        <f t="shared" si="4"/>
        <v>0.64800000000000002</v>
      </c>
      <c r="M53" s="48">
        <f t="shared" si="5"/>
        <v>648</v>
      </c>
      <c r="N53" s="52" t="s">
        <v>2102</v>
      </c>
      <c r="O53" s="75"/>
      <c r="P53" s="75"/>
    </row>
    <row r="54" spans="1:16">
      <c r="A54" s="67" t="s">
        <v>12</v>
      </c>
      <c r="B54" s="67" t="s">
        <v>1528</v>
      </c>
      <c r="C54" s="90">
        <v>437</v>
      </c>
      <c r="D54" s="90">
        <v>432</v>
      </c>
      <c r="E54" s="90">
        <v>364</v>
      </c>
      <c r="F54" s="90">
        <v>117</v>
      </c>
      <c r="G54" s="90">
        <v>431</v>
      </c>
      <c r="H54" s="90">
        <v>244</v>
      </c>
      <c r="I54" s="92"/>
      <c r="J54" s="51">
        <f t="shared" si="3"/>
        <v>2.6219999999999999</v>
      </c>
      <c r="K54" s="50">
        <v>6</v>
      </c>
      <c r="L54" s="49">
        <f t="shared" si="4"/>
        <v>0.437</v>
      </c>
      <c r="M54" s="48">
        <f t="shared" si="5"/>
        <v>437</v>
      </c>
      <c r="N54" s="52" t="s">
        <v>2101</v>
      </c>
      <c r="O54" s="75"/>
      <c r="P54" s="75"/>
    </row>
    <row r="55" spans="1:16">
      <c r="A55" s="67" t="s">
        <v>12</v>
      </c>
      <c r="B55" s="67" t="s">
        <v>1542</v>
      </c>
      <c r="C55" s="90">
        <v>433</v>
      </c>
      <c r="D55" s="90">
        <v>425</v>
      </c>
      <c r="E55" s="90">
        <v>350</v>
      </c>
      <c r="F55" s="90">
        <v>90</v>
      </c>
      <c r="G55" s="90">
        <v>423</v>
      </c>
      <c r="H55" s="90">
        <v>197</v>
      </c>
      <c r="I55" s="92"/>
      <c r="J55" s="51">
        <f t="shared" si="3"/>
        <v>2.5979999999999999</v>
      </c>
      <c r="K55" s="50">
        <v>6</v>
      </c>
      <c r="L55" s="49">
        <f t="shared" si="4"/>
        <v>0.433</v>
      </c>
      <c r="M55" s="48">
        <f t="shared" si="5"/>
        <v>433</v>
      </c>
      <c r="N55" s="52" t="s">
        <v>2100</v>
      </c>
      <c r="O55" s="75"/>
      <c r="P55" s="75"/>
    </row>
    <row r="56" spans="1:16">
      <c r="A56" s="67" t="s">
        <v>12</v>
      </c>
      <c r="B56" s="67" t="s">
        <v>1933</v>
      </c>
      <c r="C56" s="90">
        <v>470</v>
      </c>
      <c r="D56" s="90">
        <v>465</v>
      </c>
      <c r="E56" s="90">
        <v>382</v>
      </c>
      <c r="F56" s="90">
        <v>107</v>
      </c>
      <c r="G56" s="90">
        <v>459</v>
      </c>
      <c r="H56" s="90">
        <v>235</v>
      </c>
      <c r="I56" s="92"/>
      <c r="J56" s="51">
        <f t="shared" si="3"/>
        <v>2.82</v>
      </c>
      <c r="K56" s="50">
        <v>6</v>
      </c>
      <c r="L56" s="49">
        <f t="shared" si="4"/>
        <v>0.47</v>
      </c>
      <c r="M56" s="48">
        <f t="shared" si="5"/>
        <v>470</v>
      </c>
      <c r="N56" s="52" t="s">
        <v>2099</v>
      </c>
      <c r="O56" s="75"/>
      <c r="P56" s="75"/>
    </row>
    <row r="57" spans="1:16">
      <c r="A57" s="67" t="s">
        <v>12</v>
      </c>
      <c r="B57" s="67" t="s">
        <v>1713</v>
      </c>
      <c r="C57" s="90">
        <v>8528</v>
      </c>
      <c r="D57" s="90">
        <v>8435</v>
      </c>
      <c r="E57" s="90">
        <v>7217</v>
      </c>
      <c r="F57" s="90">
        <v>2654</v>
      </c>
      <c r="G57" s="90">
        <v>8432</v>
      </c>
      <c r="H57" s="90">
        <v>5558</v>
      </c>
      <c r="I57" s="92"/>
      <c r="J57" s="51">
        <f t="shared" si="3"/>
        <v>42.64</v>
      </c>
      <c r="K57" s="50">
        <v>5</v>
      </c>
      <c r="L57" s="49">
        <f t="shared" si="4"/>
        <v>8.5280000000000005</v>
      </c>
      <c r="M57" s="48">
        <f t="shared" si="5"/>
        <v>8528</v>
      </c>
      <c r="N57" s="47" t="s">
        <v>1714</v>
      </c>
      <c r="O57" s="75"/>
      <c r="P57" s="75"/>
    </row>
    <row r="58" spans="1:16">
      <c r="A58" s="67" t="s">
        <v>106</v>
      </c>
      <c r="B58" s="67" t="s">
        <v>107</v>
      </c>
      <c r="C58" s="90">
        <v>369</v>
      </c>
      <c r="D58" s="90">
        <v>359</v>
      </c>
      <c r="E58" s="90">
        <v>260</v>
      </c>
      <c r="F58" s="90">
        <v>71</v>
      </c>
      <c r="G58" s="90">
        <v>355</v>
      </c>
      <c r="H58" s="90">
        <v>171</v>
      </c>
      <c r="I58" s="92"/>
      <c r="J58" s="51">
        <f t="shared" si="3"/>
        <v>2.214</v>
      </c>
      <c r="K58" s="50">
        <v>6</v>
      </c>
      <c r="L58" s="49">
        <f t="shared" si="4"/>
        <v>0.36899999999999999</v>
      </c>
      <c r="M58" s="48">
        <f t="shared" si="5"/>
        <v>369</v>
      </c>
      <c r="N58" s="52" t="s">
        <v>2098</v>
      </c>
      <c r="O58" s="75"/>
      <c r="P58" s="75"/>
    </row>
    <row r="59" spans="1:16">
      <c r="A59" s="67" t="s">
        <v>106</v>
      </c>
      <c r="B59" s="67" t="s">
        <v>267</v>
      </c>
      <c r="C59" s="90">
        <v>590</v>
      </c>
      <c r="D59" s="90">
        <v>583</v>
      </c>
      <c r="E59" s="90">
        <v>497</v>
      </c>
      <c r="F59" s="90">
        <v>144</v>
      </c>
      <c r="G59" s="90">
        <v>573</v>
      </c>
      <c r="H59" s="90">
        <v>312</v>
      </c>
      <c r="I59" s="92"/>
      <c r="J59" s="51">
        <f t="shared" si="3"/>
        <v>3.54</v>
      </c>
      <c r="K59" s="50">
        <v>6</v>
      </c>
      <c r="L59" s="49">
        <f t="shared" si="4"/>
        <v>0.59</v>
      </c>
      <c r="M59" s="48">
        <f t="shared" si="5"/>
        <v>590</v>
      </c>
      <c r="N59" s="52" t="s">
        <v>2097</v>
      </c>
      <c r="O59" s="75"/>
      <c r="P59" s="75"/>
    </row>
    <row r="60" spans="1:16">
      <c r="A60" s="67" t="s">
        <v>106</v>
      </c>
      <c r="B60" s="67" t="s">
        <v>1177</v>
      </c>
      <c r="C60" s="90">
        <v>364</v>
      </c>
      <c r="D60" s="90">
        <v>349</v>
      </c>
      <c r="E60" s="90">
        <v>280</v>
      </c>
      <c r="F60" s="90">
        <v>107</v>
      </c>
      <c r="G60" s="90">
        <v>360</v>
      </c>
      <c r="H60" s="90">
        <v>221</v>
      </c>
      <c r="I60" s="92"/>
      <c r="J60" s="51">
        <f t="shared" si="3"/>
        <v>2.1840000000000002</v>
      </c>
      <c r="K60" s="50">
        <v>6</v>
      </c>
      <c r="L60" s="49">
        <f t="shared" si="4"/>
        <v>0.36399999999999999</v>
      </c>
      <c r="M60" s="48">
        <f t="shared" si="5"/>
        <v>364</v>
      </c>
      <c r="N60" s="88" t="s">
        <v>2096</v>
      </c>
      <c r="O60" s="75"/>
      <c r="P60" s="75"/>
    </row>
    <row r="61" spans="1:16">
      <c r="A61" s="67" t="s">
        <v>106</v>
      </c>
      <c r="B61" s="67" t="s">
        <v>1934</v>
      </c>
      <c r="C61" s="90">
        <v>979</v>
      </c>
      <c r="D61" s="90">
        <v>957</v>
      </c>
      <c r="E61" s="90">
        <v>807</v>
      </c>
      <c r="F61" s="90">
        <v>234</v>
      </c>
      <c r="G61" s="90">
        <v>957</v>
      </c>
      <c r="H61" s="90">
        <v>521</v>
      </c>
      <c r="I61" s="92"/>
      <c r="J61" s="51">
        <f t="shared" si="3"/>
        <v>5.8739999999999997</v>
      </c>
      <c r="K61" s="50">
        <v>6</v>
      </c>
      <c r="L61" s="49">
        <f t="shared" si="4"/>
        <v>0.97899999999999998</v>
      </c>
      <c r="M61" s="48">
        <f t="shared" si="5"/>
        <v>979</v>
      </c>
      <c r="N61" s="88" t="s">
        <v>2095</v>
      </c>
      <c r="O61" s="75"/>
      <c r="P61" s="75"/>
    </row>
    <row r="62" spans="1:16">
      <c r="A62" s="67" t="s">
        <v>106</v>
      </c>
      <c r="B62" s="67" t="s">
        <v>1436</v>
      </c>
      <c r="C62" s="90">
        <v>329</v>
      </c>
      <c r="D62" s="90">
        <v>322</v>
      </c>
      <c r="E62" s="90">
        <v>253</v>
      </c>
      <c r="F62" s="90">
        <v>100</v>
      </c>
      <c r="G62" s="90">
        <v>305</v>
      </c>
      <c r="H62" s="90">
        <v>188</v>
      </c>
      <c r="I62" s="92"/>
      <c r="J62" s="51">
        <f t="shared" si="3"/>
        <v>1.9740000000000002</v>
      </c>
      <c r="K62" s="50">
        <v>6</v>
      </c>
      <c r="L62" s="49">
        <f t="shared" si="4"/>
        <v>0.32900000000000001</v>
      </c>
      <c r="M62" s="48">
        <f t="shared" si="5"/>
        <v>329</v>
      </c>
      <c r="N62" s="52" t="s">
        <v>2094</v>
      </c>
      <c r="O62" s="75"/>
      <c r="P62" s="75"/>
    </row>
    <row r="63" spans="1:16">
      <c r="A63" s="67" t="s">
        <v>106</v>
      </c>
      <c r="B63" s="67" t="s">
        <v>1935</v>
      </c>
      <c r="C63" s="90">
        <v>14738</v>
      </c>
      <c r="D63" s="90">
        <v>14473</v>
      </c>
      <c r="E63" s="90">
        <v>12528</v>
      </c>
      <c r="F63" s="90">
        <v>4567</v>
      </c>
      <c r="G63" s="90">
        <v>14528</v>
      </c>
      <c r="H63" s="90">
        <v>9391</v>
      </c>
      <c r="I63" s="92"/>
      <c r="J63" s="51">
        <f t="shared" si="3"/>
        <v>73.69</v>
      </c>
      <c r="K63" s="50">
        <v>5</v>
      </c>
      <c r="L63" s="49">
        <f t="shared" si="4"/>
        <v>14.738</v>
      </c>
      <c r="M63" s="48">
        <f t="shared" si="5"/>
        <v>14738</v>
      </c>
      <c r="N63" s="47" t="s">
        <v>1905</v>
      </c>
      <c r="O63" s="75" t="s">
        <v>2093</v>
      </c>
      <c r="P63" s="75"/>
    </row>
    <row r="64" spans="1:16">
      <c r="A64" s="67" t="s">
        <v>135</v>
      </c>
      <c r="B64" s="67" t="s">
        <v>135</v>
      </c>
      <c r="C64" s="90">
        <v>10266</v>
      </c>
      <c r="D64" s="90">
        <v>9928</v>
      </c>
      <c r="E64" s="90">
        <v>8660</v>
      </c>
      <c r="F64" s="90">
        <v>2993</v>
      </c>
      <c r="G64" s="90">
        <v>9949</v>
      </c>
      <c r="H64" s="90">
        <v>6282</v>
      </c>
      <c r="I64" s="92"/>
      <c r="J64" s="51">
        <f t="shared" si="3"/>
        <v>51.33</v>
      </c>
      <c r="K64" s="50">
        <v>5</v>
      </c>
      <c r="L64" s="49">
        <f t="shared" si="4"/>
        <v>10.266</v>
      </c>
      <c r="M64" s="48">
        <f t="shared" si="5"/>
        <v>10266</v>
      </c>
      <c r="N64" s="47" t="s">
        <v>136</v>
      </c>
      <c r="O64" s="75"/>
      <c r="P64" s="75"/>
    </row>
    <row r="65" spans="1:16">
      <c r="A65" s="67" t="s">
        <v>135</v>
      </c>
      <c r="B65" s="67" t="s">
        <v>218</v>
      </c>
      <c r="C65" s="90">
        <v>1517</v>
      </c>
      <c r="D65" s="90">
        <v>1485</v>
      </c>
      <c r="E65" s="90">
        <v>1254</v>
      </c>
      <c r="F65" s="90">
        <v>431</v>
      </c>
      <c r="G65" s="90">
        <v>1443</v>
      </c>
      <c r="H65" s="90">
        <v>889</v>
      </c>
      <c r="I65" s="92"/>
      <c r="J65" s="51">
        <f t="shared" si="3"/>
        <v>9.1020000000000003</v>
      </c>
      <c r="K65" s="50">
        <v>6</v>
      </c>
      <c r="L65" s="49">
        <f t="shared" si="4"/>
        <v>1.5169999999999999</v>
      </c>
      <c r="M65" s="48">
        <f t="shared" si="5"/>
        <v>1517</v>
      </c>
      <c r="N65" s="47" t="s">
        <v>219</v>
      </c>
      <c r="O65" s="75"/>
      <c r="P65" s="75"/>
    </row>
    <row r="66" spans="1:16">
      <c r="A66" s="67" t="s">
        <v>135</v>
      </c>
      <c r="B66" s="67" t="s">
        <v>1936</v>
      </c>
      <c r="C66" s="90">
        <v>387</v>
      </c>
      <c r="D66" s="90">
        <v>374</v>
      </c>
      <c r="E66" s="90">
        <v>321</v>
      </c>
      <c r="F66" s="90">
        <v>102</v>
      </c>
      <c r="G66" s="90">
        <v>376</v>
      </c>
      <c r="H66" s="90">
        <v>211</v>
      </c>
      <c r="I66" s="92"/>
      <c r="J66" s="51">
        <f t="shared" ref="J66:J80" si="6">+K66*L66</f>
        <v>2.3220000000000001</v>
      </c>
      <c r="K66" s="50">
        <v>6</v>
      </c>
      <c r="L66" s="49">
        <f t="shared" ref="L66:L80" si="7">+M66/1000</f>
        <v>0.38700000000000001</v>
      </c>
      <c r="M66" s="48">
        <f t="shared" ref="M66:M80" si="8">+C66</f>
        <v>387</v>
      </c>
      <c r="N66" s="52" t="s">
        <v>2092</v>
      </c>
      <c r="O66" s="75"/>
      <c r="P66" s="75"/>
    </row>
    <row r="67" spans="1:16">
      <c r="A67" s="67" t="s">
        <v>135</v>
      </c>
      <c r="B67" s="67" t="s">
        <v>717</v>
      </c>
      <c r="C67" s="90">
        <v>609</v>
      </c>
      <c r="D67" s="90">
        <v>593</v>
      </c>
      <c r="E67" s="90">
        <v>457</v>
      </c>
      <c r="F67" s="90">
        <v>122</v>
      </c>
      <c r="G67" s="90">
        <v>597</v>
      </c>
      <c r="H67" s="90">
        <v>290</v>
      </c>
      <c r="I67" s="92"/>
      <c r="J67" s="51">
        <f t="shared" si="6"/>
        <v>3.6539999999999999</v>
      </c>
      <c r="K67" s="50">
        <v>6</v>
      </c>
      <c r="L67" s="49">
        <f t="shared" si="7"/>
        <v>0.60899999999999999</v>
      </c>
      <c r="M67" s="48">
        <f t="shared" si="8"/>
        <v>609</v>
      </c>
      <c r="N67" s="52" t="s">
        <v>2091</v>
      </c>
      <c r="O67" s="75"/>
      <c r="P67" s="75"/>
    </row>
    <row r="68" spans="1:16">
      <c r="A68" s="67" t="s">
        <v>135</v>
      </c>
      <c r="B68" s="67" t="s">
        <v>741</v>
      </c>
      <c r="C68" s="90">
        <v>357</v>
      </c>
      <c r="D68" s="90">
        <v>353</v>
      </c>
      <c r="E68" s="90">
        <v>237</v>
      </c>
      <c r="F68" s="90">
        <v>83</v>
      </c>
      <c r="G68" s="90">
        <v>343</v>
      </c>
      <c r="H68" s="90">
        <v>190</v>
      </c>
      <c r="I68" s="92"/>
      <c r="J68" s="51">
        <f t="shared" si="6"/>
        <v>2.1419999999999999</v>
      </c>
      <c r="K68" s="50">
        <v>6</v>
      </c>
      <c r="L68" s="49">
        <f t="shared" si="7"/>
        <v>0.35699999999999998</v>
      </c>
      <c r="M68" s="48">
        <f t="shared" si="8"/>
        <v>357</v>
      </c>
      <c r="N68" s="88" t="s">
        <v>2090</v>
      </c>
      <c r="O68" s="75"/>
      <c r="P68" s="75"/>
    </row>
    <row r="69" spans="1:16">
      <c r="A69" s="67" t="s">
        <v>135</v>
      </c>
      <c r="B69" s="67" t="s">
        <v>1038</v>
      </c>
      <c r="C69" s="90">
        <v>1460</v>
      </c>
      <c r="D69" s="90">
        <v>1411</v>
      </c>
      <c r="E69" s="90">
        <v>1188</v>
      </c>
      <c r="F69" s="90">
        <v>337</v>
      </c>
      <c r="G69" s="90">
        <v>1404</v>
      </c>
      <c r="H69" s="90">
        <v>813</v>
      </c>
      <c r="I69" s="92"/>
      <c r="J69" s="51">
        <f t="shared" si="6"/>
        <v>8.76</v>
      </c>
      <c r="K69" s="50">
        <v>6</v>
      </c>
      <c r="L69" s="49">
        <f t="shared" si="7"/>
        <v>1.46</v>
      </c>
      <c r="M69" s="48">
        <f t="shared" si="8"/>
        <v>1460</v>
      </c>
      <c r="N69" s="47" t="s">
        <v>1039</v>
      </c>
      <c r="O69" s="75"/>
      <c r="P69" s="75"/>
    </row>
    <row r="70" spans="1:16">
      <c r="A70" s="67" t="s">
        <v>135</v>
      </c>
      <c r="B70" s="67" t="s">
        <v>1169</v>
      </c>
      <c r="C70" s="90">
        <v>1027</v>
      </c>
      <c r="D70" s="90">
        <v>997</v>
      </c>
      <c r="E70" s="90">
        <v>759</v>
      </c>
      <c r="F70" s="90">
        <v>216</v>
      </c>
      <c r="G70" s="90">
        <v>1007</v>
      </c>
      <c r="H70" s="90">
        <v>530</v>
      </c>
      <c r="I70" s="92"/>
      <c r="J70" s="51">
        <f t="shared" si="6"/>
        <v>6.161999999999999</v>
      </c>
      <c r="K70" s="50">
        <v>6</v>
      </c>
      <c r="L70" s="49">
        <f t="shared" si="7"/>
        <v>1.0269999999999999</v>
      </c>
      <c r="M70" s="48">
        <f t="shared" si="8"/>
        <v>1027</v>
      </c>
      <c r="N70" s="52" t="s">
        <v>2089</v>
      </c>
      <c r="O70" s="75"/>
      <c r="P70" s="75"/>
    </row>
    <row r="71" spans="1:16">
      <c r="A71" s="67" t="s">
        <v>135</v>
      </c>
      <c r="B71" s="67" t="s">
        <v>1776</v>
      </c>
      <c r="C71" s="90">
        <v>388</v>
      </c>
      <c r="D71" s="90">
        <v>378</v>
      </c>
      <c r="E71" s="90">
        <v>290</v>
      </c>
      <c r="F71" s="90">
        <v>67</v>
      </c>
      <c r="G71" s="90">
        <v>374</v>
      </c>
      <c r="H71" s="90">
        <v>151</v>
      </c>
      <c r="I71" s="92"/>
      <c r="J71" s="51">
        <f t="shared" si="6"/>
        <v>2.3280000000000003</v>
      </c>
      <c r="K71" s="50">
        <v>6</v>
      </c>
      <c r="L71" s="49">
        <f t="shared" si="7"/>
        <v>0.38800000000000001</v>
      </c>
      <c r="M71" s="48">
        <f t="shared" si="8"/>
        <v>388</v>
      </c>
      <c r="N71" s="52" t="s">
        <v>2088</v>
      </c>
      <c r="O71" s="75"/>
      <c r="P71" s="75"/>
    </row>
    <row r="72" spans="1:16">
      <c r="A72" s="67" t="s">
        <v>135</v>
      </c>
      <c r="B72" s="67" t="s">
        <v>1899</v>
      </c>
      <c r="C72" s="90">
        <v>1562</v>
      </c>
      <c r="D72" s="90">
        <v>1488</v>
      </c>
      <c r="E72" s="90">
        <v>1264</v>
      </c>
      <c r="F72" s="90">
        <v>405</v>
      </c>
      <c r="G72" s="90">
        <v>1511</v>
      </c>
      <c r="H72" s="90">
        <v>886</v>
      </c>
      <c r="I72" s="92"/>
      <c r="J72" s="51">
        <f t="shared" si="6"/>
        <v>9.3719999999999999</v>
      </c>
      <c r="K72" s="50">
        <v>6</v>
      </c>
      <c r="L72" s="49">
        <f t="shared" si="7"/>
        <v>1.5620000000000001</v>
      </c>
      <c r="M72" s="48">
        <f t="shared" si="8"/>
        <v>1562</v>
      </c>
      <c r="N72" s="47" t="s">
        <v>1900</v>
      </c>
      <c r="O72" s="75"/>
      <c r="P72" s="75"/>
    </row>
    <row r="73" spans="1:16">
      <c r="A73" s="67" t="s">
        <v>1968</v>
      </c>
      <c r="B73" s="67" t="s">
        <v>39</v>
      </c>
      <c r="C73" s="90">
        <v>524</v>
      </c>
      <c r="D73" s="90">
        <v>516</v>
      </c>
      <c r="E73" s="90">
        <v>398</v>
      </c>
      <c r="F73" s="90">
        <v>116</v>
      </c>
      <c r="G73" s="90">
        <v>514</v>
      </c>
      <c r="H73" s="90">
        <v>279</v>
      </c>
      <c r="I73" s="92"/>
      <c r="J73" s="51">
        <f t="shared" si="6"/>
        <v>3.1440000000000001</v>
      </c>
      <c r="K73" s="50">
        <v>6</v>
      </c>
      <c r="L73" s="49">
        <f t="shared" si="7"/>
        <v>0.52400000000000002</v>
      </c>
      <c r="M73" s="48">
        <f t="shared" si="8"/>
        <v>524</v>
      </c>
      <c r="N73" s="54" t="s">
        <v>40</v>
      </c>
      <c r="O73" s="75"/>
      <c r="P73" s="75"/>
    </row>
    <row r="74" spans="1:16">
      <c r="A74" s="67" t="s">
        <v>1968</v>
      </c>
      <c r="B74" s="67" t="s">
        <v>95</v>
      </c>
      <c r="C74" s="90">
        <v>346</v>
      </c>
      <c r="D74" s="90">
        <v>337</v>
      </c>
      <c r="E74" s="90">
        <v>259</v>
      </c>
      <c r="F74" s="90">
        <v>85</v>
      </c>
      <c r="G74" s="90">
        <v>337</v>
      </c>
      <c r="H74" s="90">
        <v>187</v>
      </c>
      <c r="I74" s="92"/>
      <c r="J74" s="51">
        <f t="shared" si="6"/>
        <v>2.0759999999999996</v>
      </c>
      <c r="K74" s="50">
        <v>6</v>
      </c>
      <c r="L74" s="49">
        <f t="shared" si="7"/>
        <v>0.34599999999999997</v>
      </c>
      <c r="M74" s="48">
        <f t="shared" si="8"/>
        <v>346</v>
      </c>
      <c r="N74" s="54" t="s">
        <v>96</v>
      </c>
      <c r="O74" s="75"/>
      <c r="P74" s="93"/>
    </row>
    <row r="75" spans="1:16">
      <c r="A75" s="67" t="s">
        <v>1968</v>
      </c>
      <c r="B75" s="67" t="s">
        <v>1977</v>
      </c>
      <c r="C75" s="90">
        <v>2116</v>
      </c>
      <c r="D75" s="90">
        <v>2048</v>
      </c>
      <c r="E75" s="90">
        <v>1659</v>
      </c>
      <c r="F75" s="90">
        <v>481</v>
      </c>
      <c r="G75" s="90">
        <v>2088</v>
      </c>
      <c r="H75" s="90">
        <v>1181</v>
      </c>
      <c r="I75" s="92"/>
      <c r="J75" s="51">
        <f t="shared" si="6"/>
        <v>12.696000000000002</v>
      </c>
      <c r="K75" s="50">
        <v>6</v>
      </c>
      <c r="L75" s="49">
        <f t="shared" si="7"/>
        <v>2.1160000000000001</v>
      </c>
      <c r="M75" s="48">
        <f t="shared" si="8"/>
        <v>2116</v>
      </c>
      <c r="N75" s="76" t="s">
        <v>919</v>
      </c>
      <c r="O75" s="75"/>
      <c r="P75" s="75"/>
    </row>
    <row r="76" spans="1:16">
      <c r="A76" s="67" t="s">
        <v>1968</v>
      </c>
      <c r="B76" s="67" t="s">
        <v>137</v>
      </c>
      <c r="C76" s="90">
        <v>738</v>
      </c>
      <c r="D76" s="90">
        <v>717</v>
      </c>
      <c r="E76" s="90">
        <v>580</v>
      </c>
      <c r="F76" s="90">
        <v>127</v>
      </c>
      <c r="G76" s="90">
        <v>719</v>
      </c>
      <c r="H76" s="90">
        <v>365</v>
      </c>
      <c r="I76" s="92"/>
      <c r="J76" s="51">
        <f t="shared" si="6"/>
        <v>4.4279999999999999</v>
      </c>
      <c r="K76" s="50">
        <v>6</v>
      </c>
      <c r="L76" s="49">
        <f t="shared" si="7"/>
        <v>0.73799999999999999</v>
      </c>
      <c r="M76" s="48">
        <f t="shared" si="8"/>
        <v>738</v>
      </c>
      <c r="N76" s="76" t="s">
        <v>158</v>
      </c>
      <c r="O76" s="75"/>
      <c r="P76" s="75"/>
    </row>
    <row r="77" spans="1:16">
      <c r="A77" s="67" t="s">
        <v>1968</v>
      </c>
      <c r="B77" s="67" t="s">
        <v>163</v>
      </c>
      <c r="C77" s="90">
        <v>1183</v>
      </c>
      <c r="D77" s="90">
        <v>1180</v>
      </c>
      <c r="E77" s="90">
        <v>948</v>
      </c>
      <c r="F77" s="90">
        <v>386</v>
      </c>
      <c r="G77" s="90">
        <v>1166</v>
      </c>
      <c r="H77" s="90">
        <v>838</v>
      </c>
      <c r="I77" s="92"/>
      <c r="J77" s="51">
        <f t="shared" si="6"/>
        <v>7.0980000000000008</v>
      </c>
      <c r="K77" s="50">
        <v>6</v>
      </c>
      <c r="L77" s="49">
        <f t="shared" si="7"/>
        <v>1.1830000000000001</v>
      </c>
      <c r="M77" s="48">
        <f t="shared" si="8"/>
        <v>1183</v>
      </c>
      <c r="N77" s="76" t="s">
        <v>170</v>
      </c>
      <c r="O77" s="75"/>
      <c r="P77" s="75"/>
    </row>
    <row r="78" spans="1:16">
      <c r="A78" s="67" t="s">
        <v>1968</v>
      </c>
      <c r="B78" s="67" t="s">
        <v>1937</v>
      </c>
      <c r="C78" s="90">
        <v>4052</v>
      </c>
      <c r="D78" s="90">
        <v>4008</v>
      </c>
      <c r="E78" s="90">
        <v>3411</v>
      </c>
      <c r="F78" s="90">
        <v>1158</v>
      </c>
      <c r="G78" s="90">
        <v>3958</v>
      </c>
      <c r="H78" s="90">
        <v>2398</v>
      </c>
      <c r="I78" s="92"/>
      <c r="J78" s="51">
        <f t="shared" si="6"/>
        <v>24.311999999999998</v>
      </c>
      <c r="K78" s="50">
        <v>6</v>
      </c>
      <c r="L78" s="49">
        <f t="shared" si="7"/>
        <v>4.0519999999999996</v>
      </c>
      <c r="M78" s="48">
        <f t="shared" si="8"/>
        <v>4052</v>
      </c>
      <c r="N78" s="47" t="s">
        <v>171</v>
      </c>
      <c r="O78" s="75"/>
      <c r="P78" s="75"/>
    </row>
    <row r="79" spans="1:16">
      <c r="A79" s="67" t="s">
        <v>1968</v>
      </c>
      <c r="B79" s="67" t="s">
        <v>195</v>
      </c>
      <c r="C79" s="90">
        <v>969</v>
      </c>
      <c r="D79" s="90">
        <v>961</v>
      </c>
      <c r="E79" s="90">
        <v>794</v>
      </c>
      <c r="F79" s="90">
        <v>265</v>
      </c>
      <c r="G79" s="90">
        <v>942</v>
      </c>
      <c r="H79" s="90">
        <v>522</v>
      </c>
      <c r="I79" s="92"/>
      <c r="J79" s="51">
        <f t="shared" si="6"/>
        <v>5.8140000000000001</v>
      </c>
      <c r="K79" s="50">
        <v>6</v>
      </c>
      <c r="L79" s="49">
        <f t="shared" si="7"/>
        <v>0.96899999999999997</v>
      </c>
      <c r="M79" s="48">
        <f t="shared" si="8"/>
        <v>969</v>
      </c>
      <c r="N79" s="76" t="s">
        <v>202</v>
      </c>
      <c r="O79" s="75"/>
      <c r="P79" s="75"/>
    </row>
    <row r="80" spans="1:16">
      <c r="A80" s="67" t="s">
        <v>1968</v>
      </c>
      <c r="B80" s="67" t="s">
        <v>1938</v>
      </c>
      <c r="C80" s="90">
        <v>18270</v>
      </c>
      <c r="D80" s="90">
        <v>18074</v>
      </c>
      <c r="E80" s="90">
        <v>15651</v>
      </c>
      <c r="F80" s="90">
        <v>5549</v>
      </c>
      <c r="G80" s="90">
        <v>17932</v>
      </c>
      <c r="H80" s="90">
        <v>11713</v>
      </c>
      <c r="I80" s="92"/>
      <c r="J80" s="51">
        <f t="shared" si="6"/>
        <v>73.08</v>
      </c>
      <c r="K80" s="50">
        <v>4</v>
      </c>
      <c r="L80" s="49">
        <f t="shared" si="7"/>
        <v>18.27</v>
      </c>
      <c r="M80" s="48">
        <f t="shared" si="8"/>
        <v>18270</v>
      </c>
      <c r="N80" s="47" t="s">
        <v>208</v>
      </c>
      <c r="O80" s="75"/>
      <c r="P80" s="75"/>
    </row>
    <row r="81" spans="1:16">
      <c r="A81" s="89" t="s">
        <v>1968</v>
      </c>
      <c r="B81" s="89" t="s">
        <v>1971</v>
      </c>
      <c r="C81" s="91">
        <v>2037</v>
      </c>
      <c r="D81" s="91">
        <v>2013</v>
      </c>
      <c r="E81" s="91">
        <v>1599</v>
      </c>
      <c r="F81" s="91">
        <v>468</v>
      </c>
      <c r="G81" s="91">
        <v>1997</v>
      </c>
      <c r="H81" s="91">
        <v>1142</v>
      </c>
      <c r="I81" s="91"/>
      <c r="J81" s="83">
        <v>3.8879999999999999</v>
      </c>
      <c r="K81" s="83">
        <v>6</v>
      </c>
      <c r="L81" s="82">
        <v>0.64800000000000002</v>
      </c>
      <c r="M81" s="81">
        <v>648</v>
      </c>
      <c r="N81" s="87" t="s">
        <v>216</v>
      </c>
      <c r="O81" s="75"/>
      <c r="P81" s="75"/>
    </row>
    <row r="82" spans="1:16">
      <c r="A82" s="67" t="s">
        <v>1968</v>
      </c>
      <c r="B82" s="67" t="s">
        <v>1976</v>
      </c>
      <c r="C82" s="90">
        <v>1065</v>
      </c>
      <c r="D82" s="90">
        <v>1020</v>
      </c>
      <c r="E82" s="90">
        <v>840</v>
      </c>
      <c r="F82" s="90">
        <v>194</v>
      </c>
      <c r="G82" s="90">
        <v>1037</v>
      </c>
      <c r="H82" s="90">
        <v>562</v>
      </c>
      <c r="I82" s="92"/>
      <c r="J82" s="51">
        <f>+K82*L82</f>
        <v>6.39</v>
      </c>
      <c r="K82" s="50">
        <v>6</v>
      </c>
      <c r="L82" s="49">
        <f>+M82/1000</f>
        <v>1.0649999999999999</v>
      </c>
      <c r="M82" s="48">
        <f>+C82</f>
        <v>1065</v>
      </c>
      <c r="N82" s="76" t="s">
        <v>224</v>
      </c>
      <c r="O82" s="75"/>
      <c r="P82" s="75"/>
    </row>
    <row r="83" spans="1:16">
      <c r="A83" s="67" t="s">
        <v>1968</v>
      </c>
      <c r="B83" s="67" t="s">
        <v>223</v>
      </c>
      <c r="C83" s="90">
        <v>478</v>
      </c>
      <c r="D83" s="90">
        <v>468</v>
      </c>
      <c r="E83" s="90">
        <v>381</v>
      </c>
      <c r="F83" s="90">
        <v>110</v>
      </c>
      <c r="G83" s="90">
        <v>467</v>
      </c>
      <c r="H83" s="90">
        <v>249</v>
      </c>
      <c r="I83" s="92"/>
      <c r="J83" s="51">
        <f>+K83*L83</f>
        <v>2.8679999999999999</v>
      </c>
      <c r="K83" s="50">
        <v>6</v>
      </c>
      <c r="L83" s="49">
        <f>+M83/1000</f>
        <v>0.47799999999999998</v>
      </c>
      <c r="M83" s="48">
        <f>+C83</f>
        <v>478</v>
      </c>
      <c r="N83" s="76" t="s">
        <v>233</v>
      </c>
      <c r="O83" s="75"/>
      <c r="P83" s="75"/>
    </row>
    <row r="84" spans="1:16">
      <c r="A84" s="67" t="s">
        <v>1968</v>
      </c>
      <c r="B84" s="67" t="s">
        <v>232</v>
      </c>
      <c r="C84" s="90">
        <v>1237</v>
      </c>
      <c r="D84" s="90">
        <v>1232</v>
      </c>
      <c r="E84" s="90">
        <v>1078</v>
      </c>
      <c r="F84" s="90">
        <v>328</v>
      </c>
      <c r="G84" s="90">
        <v>1191</v>
      </c>
      <c r="H84" s="90">
        <v>735</v>
      </c>
      <c r="I84" s="92"/>
      <c r="J84" s="51">
        <f>+K84*L84</f>
        <v>7.4220000000000006</v>
      </c>
      <c r="K84" s="50">
        <v>6</v>
      </c>
      <c r="L84" s="49">
        <f>+M84/1000</f>
        <v>1.2370000000000001</v>
      </c>
      <c r="M84" s="48">
        <f>+C84</f>
        <v>1237</v>
      </c>
      <c r="N84" s="76" t="s">
        <v>238</v>
      </c>
      <c r="O84" s="75"/>
      <c r="P84" s="86"/>
    </row>
    <row r="85" spans="1:16">
      <c r="A85" s="89" t="s">
        <v>1968</v>
      </c>
      <c r="B85" s="89" t="s">
        <v>1972</v>
      </c>
      <c r="C85" s="91">
        <v>513</v>
      </c>
      <c r="D85" s="91">
        <v>508</v>
      </c>
      <c r="E85" s="91">
        <v>423</v>
      </c>
      <c r="F85" s="91">
        <v>96</v>
      </c>
      <c r="G85" s="91">
        <v>493</v>
      </c>
      <c r="H85" s="91">
        <v>260</v>
      </c>
      <c r="I85" s="91"/>
      <c r="J85" s="83">
        <v>3.0779999999999998</v>
      </c>
      <c r="K85" s="83">
        <v>6</v>
      </c>
      <c r="L85" s="82">
        <v>0.51300000000000001</v>
      </c>
      <c r="M85" s="81">
        <v>513</v>
      </c>
      <c r="N85" s="76" t="s">
        <v>242</v>
      </c>
      <c r="O85" s="75"/>
      <c r="P85" s="75"/>
    </row>
    <row r="86" spans="1:16">
      <c r="A86" s="67" t="s">
        <v>1968</v>
      </c>
      <c r="B86" s="67" t="s">
        <v>249</v>
      </c>
      <c r="C86" s="90">
        <v>2745</v>
      </c>
      <c r="D86" s="90">
        <v>2621</v>
      </c>
      <c r="E86" s="90">
        <v>2311</v>
      </c>
      <c r="F86" s="90">
        <v>742</v>
      </c>
      <c r="G86" s="90">
        <v>2705</v>
      </c>
      <c r="H86" s="90">
        <v>1691</v>
      </c>
      <c r="I86" s="92"/>
      <c r="J86" s="51">
        <f>+K86*L86</f>
        <v>16.47</v>
      </c>
      <c r="K86" s="50">
        <v>6</v>
      </c>
      <c r="L86" s="49">
        <f>+M86/1000</f>
        <v>2.7450000000000001</v>
      </c>
      <c r="M86" s="48">
        <f>+C86</f>
        <v>2745</v>
      </c>
      <c r="N86" s="47" t="s">
        <v>250</v>
      </c>
      <c r="O86" s="75"/>
      <c r="P86" s="75"/>
    </row>
    <row r="87" spans="1:16">
      <c r="A87" s="67" t="s">
        <v>1968</v>
      </c>
      <c r="B87" s="67" t="s">
        <v>253</v>
      </c>
      <c r="C87" s="90">
        <v>4462</v>
      </c>
      <c r="D87" s="90">
        <v>4429</v>
      </c>
      <c r="E87" s="90">
        <v>3865</v>
      </c>
      <c r="F87" s="90">
        <v>1371</v>
      </c>
      <c r="G87" s="90">
        <v>4390</v>
      </c>
      <c r="H87" s="90">
        <v>2959</v>
      </c>
      <c r="I87" s="92"/>
      <c r="J87" s="51">
        <f>+K87*L87</f>
        <v>26.771999999999998</v>
      </c>
      <c r="K87" s="50">
        <v>6</v>
      </c>
      <c r="L87" s="49">
        <f>+M87/1000</f>
        <v>4.4619999999999997</v>
      </c>
      <c r="M87" s="48">
        <f>+C87</f>
        <v>4462</v>
      </c>
      <c r="N87" s="47" t="s">
        <v>254</v>
      </c>
      <c r="O87" s="75"/>
      <c r="P87" s="75"/>
    </row>
    <row r="88" spans="1:16">
      <c r="A88" s="67" t="s">
        <v>1968</v>
      </c>
      <c r="B88" s="67" t="s">
        <v>366</v>
      </c>
      <c r="C88" s="90">
        <v>1322</v>
      </c>
      <c r="D88" s="90">
        <v>1295</v>
      </c>
      <c r="E88" s="90">
        <v>1079</v>
      </c>
      <c r="F88" s="90">
        <v>307</v>
      </c>
      <c r="G88" s="90">
        <v>1282</v>
      </c>
      <c r="H88" s="90">
        <v>717</v>
      </c>
      <c r="I88" s="92"/>
      <c r="J88" s="51">
        <f>+K88*L88</f>
        <v>7.9320000000000004</v>
      </c>
      <c r="K88" s="50">
        <v>6</v>
      </c>
      <c r="L88" s="49">
        <f>+M88/1000</f>
        <v>1.3220000000000001</v>
      </c>
      <c r="M88" s="48">
        <f>+C88</f>
        <v>1322</v>
      </c>
      <c r="N88" s="76" t="s">
        <v>279</v>
      </c>
      <c r="O88" s="75"/>
      <c r="P88" s="75"/>
    </row>
    <row r="89" spans="1:16">
      <c r="A89" s="67" t="s">
        <v>1968</v>
      </c>
      <c r="B89" s="67" t="s">
        <v>398</v>
      </c>
      <c r="C89" s="90">
        <v>343</v>
      </c>
      <c r="D89" s="90">
        <v>338</v>
      </c>
      <c r="E89" s="90">
        <v>302</v>
      </c>
      <c r="F89" s="90">
        <v>149</v>
      </c>
      <c r="G89" s="90">
        <v>335</v>
      </c>
      <c r="H89" s="90">
        <v>249</v>
      </c>
      <c r="I89" s="92"/>
      <c r="J89" s="51">
        <f>+K89*L89</f>
        <v>2.0580000000000003</v>
      </c>
      <c r="K89" s="50">
        <v>6</v>
      </c>
      <c r="L89" s="49">
        <f>+M89/1000</f>
        <v>0.34300000000000003</v>
      </c>
      <c r="M89" s="48">
        <f>+C89</f>
        <v>343</v>
      </c>
      <c r="N89" s="76" t="s">
        <v>375</v>
      </c>
      <c r="O89" s="75"/>
      <c r="P89" s="75"/>
    </row>
    <row r="90" spans="1:16">
      <c r="A90" s="89" t="s">
        <v>1968</v>
      </c>
      <c r="B90" s="89" t="s">
        <v>1973</v>
      </c>
      <c r="C90" s="91">
        <v>1340</v>
      </c>
      <c r="D90" s="91">
        <v>1317</v>
      </c>
      <c r="E90" s="91">
        <v>1055</v>
      </c>
      <c r="F90" s="91">
        <v>401</v>
      </c>
      <c r="G90" s="91">
        <v>1316</v>
      </c>
      <c r="H90" s="91">
        <v>863</v>
      </c>
      <c r="I90" s="91"/>
      <c r="J90" s="83">
        <v>3.5579999999999998</v>
      </c>
      <c r="K90" s="83">
        <v>6</v>
      </c>
      <c r="L90" s="82">
        <v>0.59299999999999997</v>
      </c>
      <c r="M90" s="81">
        <v>593</v>
      </c>
      <c r="N90" s="76" t="s">
        <v>394</v>
      </c>
      <c r="O90" s="75"/>
      <c r="P90" s="75"/>
    </row>
    <row r="91" spans="1:16">
      <c r="A91" s="67" t="s">
        <v>1968</v>
      </c>
      <c r="B91" s="67" t="s">
        <v>419</v>
      </c>
      <c r="C91" s="90">
        <v>593</v>
      </c>
      <c r="D91" s="90">
        <v>582</v>
      </c>
      <c r="E91" s="90">
        <v>484</v>
      </c>
      <c r="F91" s="90">
        <v>184</v>
      </c>
      <c r="G91" s="90">
        <v>583</v>
      </c>
      <c r="H91" s="90">
        <v>345</v>
      </c>
      <c r="I91" s="92"/>
      <c r="J91" s="51">
        <f>+K91*L91</f>
        <v>3.5579999999999998</v>
      </c>
      <c r="K91" s="50">
        <v>6</v>
      </c>
      <c r="L91" s="49">
        <f>+M91/1000</f>
        <v>0.59299999999999997</v>
      </c>
      <c r="M91" s="48">
        <f>+C91</f>
        <v>593</v>
      </c>
      <c r="N91" s="76" t="s">
        <v>409</v>
      </c>
      <c r="O91" s="75"/>
      <c r="P91" s="75"/>
    </row>
    <row r="92" spans="1:16">
      <c r="A92" s="89" t="s">
        <v>1968</v>
      </c>
      <c r="B92" s="89" t="s">
        <v>437</v>
      </c>
      <c r="C92" s="91">
        <v>719</v>
      </c>
      <c r="D92" s="91">
        <v>706</v>
      </c>
      <c r="E92" s="91">
        <v>585</v>
      </c>
      <c r="F92" s="91">
        <v>216</v>
      </c>
      <c r="G92" s="91">
        <v>701</v>
      </c>
      <c r="H92" s="91">
        <v>431</v>
      </c>
      <c r="I92" s="91"/>
      <c r="J92" s="83">
        <v>3.306</v>
      </c>
      <c r="K92" s="83">
        <v>6</v>
      </c>
      <c r="L92" s="82">
        <v>0.55100000000000005</v>
      </c>
      <c r="M92" s="81">
        <v>551</v>
      </c>
      <c r="N92" s="76" t="s">
        <v>422</v>
      </c>
      <c r="O92" s="75"/>
      <c r="P92" s="75"/>
    </row>
    <row r="93" spans="1:16">
      <c r="A93" s="89" t="s">
        <v>1968</v>
      </c>
      <c r="B93" s="89" t="s">
        <v>483</v>
      </c>
      <c r="C93" s="91">
        <v>319</v>
      </c>
      <c r="D93" s="91">
        <v>311</v>
      </c>
      <c r="E93" s="91">
        <v>243</v>
      </c>
      <c r="F93" s="91">
        <v>55</v>
      </c>
      <c r="G93" s="91">
        <v>305</v>
      </c>
      <c r="H93" s="91">
        <v>139</v>
      </c>
      <c r="I93" s="91"/>
      <c r="J93" s="83">
        <v>2.0819999999999999</v>
      </c>
      <c r="K93" s="83">
        <v>6</v>
      </c>
      <c r="L93" s="82">
        <v>0.34699999999999998</v>
      </c>
      <c r="M93" s="81">
        <v>347</v>
      </c>
      <c r="N93" s="76" t="s">
        <v>449</v>
      </c>
      <c r="O93" s="75"/>
      <c r="P93" s="75"/>
    </row>
    <row r="94" spans="1:16">
      <c r="A94" s="67" t="s">
        <v>1968</v>
      </c>
      <c r="B94" s="67" t="s">
        <v>491</v>
      </c>
      <c r="C94" s="90">
        <v>2111</v>
      </c>
      <c r="D94" s="90">
        <v>2046</v>
      </c>
      <c r="E94" s="90">
        <v>1802</v>
      </c>
      <c r="F94" s="90">
        <v>532</v>
      </c>
      <c r="G94" s="90">
        <v>2089</v>
      </c>
      <c r="H94" s="90">
        <v>1235</v>
      </c>
      <c r="I94" s="92"/>
      <c r="J94" s="51">
        <f t="shared" ref="J94:J101" si="9">+K94*L94</f>
        <v>12.666</v>
      </c>
      <c r="K94" s="50">
        <v>6</v>
      </c>
      <c r="L94" s="49">
        <f t="shared" ref="L94:L101" si="10">+M94/1000</f>
        <v>2.1110000000000002</v>
      </c>
      <c r="M94" s="48">
        <f t="shared" ref="M94:M101" si="11">+C94</f>
        <v>2111</v>
      </c>
      <c r="N94" s="47" t="s">
        <v>492</v>
      </c>
      <c r="O94" s="75"/>
      <c r="P94" s="75"/>
    </row>
    <row r="95" spans="1:16">
      <c r="A95" s="67" t="s">
        <v>1968</v>
      </c>
      <c r="B95" s="67" t="s">
        <v>495</v>
      </c>
      <c r="C95" s="90">
        <v>356</v>
      </c>
      <c r="D95" s="90">
        <v>349</v>
      </c>
      <c r="E95" s="90">
        <v>291</v>
      </c>
      <c r="F95" s="90">
        <v>100</v>
      </c>
      <c r="G95" s="90">
        <v>346</v>
      </c>
      <c r="H95" s="90">
        <v>202</v>
      </c>
      <c r="I95" s="92"/>
      <c r="J95" s="51">
        <f t="shared" si="9"/>
        <v>2.1360000000000001</v>
      </c>
      <c r="K95" s="50">
        <v>6</v>
      </c>
      <c r="L95" s="49">
        <f t="shared" si="10"/>
        <v>0.35599999999999998</v>
      </c>
      <c r="M95" s="48">
        <f t="shared" si="11"/>
        <v>356</v>
      </c>
      <c r="N95" s="76" t="s">
        <v>461</v>
      </c>
      <c r="O95" s="75"/>
      <c r="P95" s="75"/>
    </row>
    <row r="96" spans="1:16">
      <c r="A96" s="67" t="s">
        <v>1968</v>
      </c>
      <c r="B96" s="67" t="s">
        <v>496</v>
      </c>
      <c r="C96" s="90">
        <v>1713</v>
      </c>
      <c r="D96" s="90">
        <v>1699</v>
      </c>
      <c r="E96" s="90">
        <v>1374</v>
      </c>
      <c r="F96" s="90">
        <v>469</v>
      </c>
      <c r="G96" s="90">
        <v>1682</v>
      </c>
      <c r="H96" s="90">
        <v>1058</v>
      </c>
      <c r="I96" s="92"/>
      <c r="J96" s="51">
        <f t="shared" si="9"/>
        <v>10.278</v>
      </c>
      <c r="K96" s="50">
        <v>6</v>
      </c>
      <c r="L96" s="49">
        <f t="shared" si="10"/>
        <v>1.7130000000000001</v>
      </c>
      <c r="M96" s="48">
        <f t="shared" si="11"/>
        <v>1713</v>
      </c>
      <c r="N96" s="47" t="s">
        <v>497</v>
      </c>
      <c r="O96" s="75"/>
      <c r="P96" s="75"/>
    </row>
    <row r="97" spans="1:16">
      <c r="A97" s="67" t="s">
        <v>1968</v>
      </c>
      <c r="B97" s="67" t="s">
        <v>1974</v>
      </c>
      <c r="C97" s="90">
        <v>381</v>
      </c>
      <c r="D97" s="90">
        <v>377</v>
      </c>
      <c r="E97" s="90">
        <v>311</v>
      </c>
      <c r="F97" s="90">
        <v>108</v>
      </c>
      <c r="G97" s="90">
        <v>370</v>
      </c>
      <c r="H97" s="90">
        <v>235</v>
      </c>
      <c r="I97" s="92"/>
      <c r="J97" s="51">
        <f t="shared" si="9"/>
        <v>2.286</v>
      </c>
      <c r="K97" s="50">
        <v>6</v>
      </c>
      <c r="L97" s="49">
        <f t="shared" si="10"/>
        <v>0.38100000000000001</v>
      </c>
      <c r="M97" s="48">
        <f t="shared" si="11"/>
        <v>381</v>
      </c>
      <c r="N97" s="76" t="s">
        <v>469</v>
      </c>
      <c r="O97" s="75"/>
      <c r="P97" s="75"/>
    </row>
    <row r="98" spans="1:16">
      <c r="A98" s="67" t="s">
        <v>1968</v>
      </c>
      <c r="B98" s="67" t="s">
        <v>509</v>
      </c>
      <c r="C98" s="90">
        <v>347</v>
      </c>
      <c r="D98" s="90">
        <v>332</v>
      </c>
      <c r="E98" s="90">
        <v>265</v>
      </c>
      <c r="F98" s="90">
        <v>78</v>
      </c>
      <c r="G98" s="90">
        <v>343</v>
      </c>
      <c r="H98" s="90">
        <v>181</v>
      </c>
      <c r="I98" s="92"/>
      <c r="J98" s="51">
        <f t="shared" si="9"/>
        <v>2.0819999999999999</v>
      </c>
      <c r="K98" s="50">
        <v>6</v>
      </c>
      <c r="L98" s="49">
        <f t="shared" si="10"/>
        <v>0.34699999999999998</v>
      </c>
      <c r="M98" s="48">
        <f t="shared" si="11"/>
        <v>347</v>
      </c>
      <c r="N98" s="76" t="s">
        <v>484</v>
      </c>
      <c r="O98" s="75"/>
      <c r="P98" s="75"/>
    </row>
    <row r="99" spans="1:16">
      <c r="A99" s="67" t="s">
        <v>1968</v>
      </c>
      <c r="B99" s="67" t="s">
        <v>511</v>
      </c>
      <c r="C99" s="90">
        <v>446</v>
      </c>
      <c r="D99" s="90">
        <v>435</v>
      </c>
      <c r="E99" s="90">
        <v>358</v>
      </c>
      <c r="F99" s="90">
        <v>93</v>
      </c>
      <c r="G99" s="90">
        <v>429</v>
      </c>
      <c r="H99" s="90">
        <v>230</v>
      </c>
      <c r="I99" s="92"/>
      <c r="J99" s="51">
        <f t="shared" si="9"/>
        <v>2.6760000000000002</v>
      </c>
      <c r="K99" s="50">
        <v>6</v>
      </c>
      <c r="L99" s="49">
        <f t="shared" si="10"/>
        <v>0.44600000000000001</v>
      </c>
      <c r="M99" s="48">
        <f t="shared" si="11"/>
        <v>446</v>
      </c>
      <c r="N99" s="76" t="s">
        <v>488</v>
      </c>
      <c r="O99" s="75"/>
      <c r="P99" s="75"/>
    </row>
    <row r="100" spans="1:16">
      <c r="A100" s="67" t="s">
        <v>1968</v>
      </c>
      <c r="B100" s="67" t="s">
        <v>526</v>
      </c>
      <c r="C100" s="90">
        <v>509</v>
      </c>
      <c r="D100" s="90">
        <v>499</v>
      </c>
      <c r="E100" s="90">
        <v>412</v>
      </c>
      <c r="F100" s="90">
        <v>128</v>
      </c>
      <c r="G100" s="90">
        <v>496</v>
      </c>
      <c r="H100" s="90">
        <v>297</v>
      </c>
      <c r="I100" s="92"/>
      <c r="J100" s="51">
        <f t="shared" si="9"/>
        <v>3.0540000000000003</v>
      </c>
      <c r="K100" s="50">
        <v>6</v>
      </c>
      <c r="L100" s="49">
        <f t="shared" si="10"/>
        <v>0.50900000000000001</v>
      </c>
      <c r="M100" s="48">
        <f t="shared" si="11"/>
        <v>509</v>
      </c>
      <c r="N100" s="76" t="s">
        <v>494</v>
      </c>
      <c r="O100" s="75"/>
      <c r="P100" s="75"/>
    </row>
    <row r="101" spans="1:16">
      <c r="A101" s="67" t="s">
        <v>1968</v>
      </c>
      <c r="B101" s="67" t="s">
        <v>531</v>
      </c>
      <c r="C101" s="90">
        <v>4108</v>
      </c>
      <c r="D101" s="90">
        <v>4063</v>
      </c>
      <c r="E101" s="90">
        <v>3430</v>
      </c>
      <c r="F101" s="90">
        <v>1149</v>
      </c>
      <c r="G101" s="90">
        <v>4012</v>
      </c>
      <c r="H101" s="90">
        <v>2671</v>
      </c>
      <c r="I101" s="92"/>
      <c r="J101" s="51">
        <f t="shared" si="9"/>
        <v>24.647999999999996</v>
      </c>
      <c r="K101" s="50">
        <v>6</v>
      </c>
      <c r="L101" s="49">
        <f t="shared" si="10"/>
        <v>4.1079999999999997</v>
      </c>
      <c r="M101" s="48">
        <f t="shared" si="11"/>
        <v>4108</v>
      </c>
      <c r="N101" s="47" t="s">
        <v>532</v>
      </c>
      <c r="O101" s="75"/>
      <c r="P101" s="75"/>
    </row>
    <row r="102" spans="1:16">
      <c r="A102" s="89" t="s">
        <v>1968</v>
      </c>
      <c r="B102" s="89" t="s">
        <v>544</v>
      </c>
      <c r="C102" s="91">
        <v>2462</v>
      </c>
      <c r="D102" s="91">
        <v>2436</v>
      </c>
      <c r="E102" s="91">
        <v>2010</v>
      </c>
      <c r="F102" s="91">
        <v>584</v>
      </c>
      <c r="G102" s="91">
        <v>2412</v>
      </c>
      <c r="H102" s="91">
        <v>1481</v>
      </c>
      <c r="I102" s="91"/>
      <c r="J102" s="83">
        <v>2.8559999999999999</v>
      </c>
      <c r="K102" s="83">
        <v>6</v>
      </c>
      <c r="L102" s="82">
        <v>0.47599999999999998</v>
      </c>
      <c r="M102" s="81">
        <v>476</v>
      </c>
      <c r="N102" s="76" t="s">
        <v>498</v>
      </c>
      <c r="O102" s="75"/>
      <c r="P102" s="75"/>
    </row>
    <row r="103" spans="1:16">
      <c r="A103" s="89" t="s">
        <v>1968</v>
      </c>
      <c r="B103" s="89" t="s">
        <v>569</v>
      </c>
      <c r="C103" s="91">
        <v>1687</v>
      </c>
      <c r="D103" s="91">
        <v>1675</v>
      </c>
      <c r="E103" s="91">
        <v>1475</v>
      </c>
      <c r="F103" s="91">
        <v>562</v>
      </c>
      <c r="G103" s="91">
        <v>1653</v>
      </c>
      <c r="H103" s="91">
        <v>1154</v>
      </c>
      <c r="I103" s="91"/>
      <c r="J103" s="83">
        <v>2.5979999999999999</v>
      </c>
      <c r="K103" s="83">
        <v>6</v>
      </c>
      <c r="L103" s="82">
        <v>0.433</v>
      </c>
      <c r="M103" s="81">
        <v>433</v>
      </c>
      <c r="N103" s="76" t="s">
        <v>504</v>
      </c>
      <c r="O103" s="75"/>
      <c r="P103" s="75"/>
    </row>
    <row r="104" spans="1:16">
      <c r="A104" s="67" t="s">
        <v>1968</v>
      </c>
      <c r="B104" s="67" t="s">
        <v>628</v>
      </c>
      <c r="C104" s="90">
        <v>1779</v>
      </c>
      <c r="D104" s="90">
        <v>1749</v>
      </c>
      <c r="E104" s="90">
        <v>1490</v>
      </c>
      <c r="F104" s="90">
        <v>408</v>
      </c>
      <c r="G104" s="90">
        <v>1738</v>
      </c>
      <c r="H104" s="90">
        <v>1036</v>
      </c>
      <c r="I104" s="92"/>
      <c r="J104" s="51">
        <f>+K104*L104</f>
        <v>10.673999999999999</v>
      </c>
      <c r="K104" s="50">
        <v>6</v>
      </c>
      <c r="L104" s="49">
        <f>+M104/1000</f>
        <v>1.7789999999999999</v>
      </c>
      <c r="M104" s="48">
        <f>+C104</f>
        <v>1779</v>
      </c>
      <c r="N104" s="76" t="s">
        <v>506</v>
      </c>
      <c r="O104" s="75"/>
      <c r="P104" s="75"/>
    </row>
    <row r="105" spans="1:16">
      <c r="A105" s="89" t="s">
        <v>1968</v>
      </c>
      <c r="B105" s="89" t="s">
        <v>754</v>
      </c>
      <c r="C105" s="91">
        <v>1092</v>
      </c>
      <c r="D105" s="91">
        <v>1078</v>
      </c>
      <c r="E105" s="91">
        <v>869</v>
      </c>
      <c r="F105" s="91">
        <v>294</v>
      </c>
      <c r="G105" s="91">
        <v>1070</v>
      </c>
      <c r="H105" s="91">
        <v>657</v>
      </c>
      <c r="I105" s="91"/>
      <c r="J105" s="83">
        <v>3.468</v>
      </c>
      <c r="K105" s="83">
        <v>6</v>
      </c>
      <c r="L105" s="82">
        <v>0.57799999999999996</v>
      </c>
      <c r="M105" s="81">
        <v>578</v>
      </c>
      <c r="N105" s="76" t="s">
        <v>535</v>
      </c>
      <c r="O105" s="75"/>
      <c r="P105" s="75"/>
    </row>
    <row r="106" spans="1:16">
      <c r="A106" s="67" t="s">
        <v>1968</v>
      </c>
      <c r="B106" s="67" t="s">
        <v>804</v>
      </c>
      <c r="C106" s="90">
        <v>1597</v>
      </c>
      <c r="D106" s="90">
        <v>1535</v>
      </c>
      <c r="E106" s="90">
        <v>1333</v>
      </c>
      <c r="F106" s="90">
        <v>346</v>
      </c>
      <c r="G106" s="90">
        <v>1560</v>
      </c>
      <c r="H106" s="90">
        <v>845</v>
      </c>
      <c r="I106" s="92"/>
      <c r="J106" s="51">
        <f>+K106*L106</f>
        <v>9.5820000000000007</v>
      </c>
      <c r="K106" s="50">
        <v>6</v>
      </c>
      <c r="L106" s="49">
        <f>+M106/1000</f>
        <v>1.597</v>
      </c>
      <c r="M106" s="48">
        <f>+C106</f>
        <v>1597</v>
      </c>
      <c r="N106" s="47" t="s">
        <v>805</v>
      </c>
      <c r="O106" s="75"/>
      <c r="P106" s="75"/>
    </row>
    <row r="107" spans="1:16">
      <c r="A107" s="89" t="s">
        <v>1968</v>
      </c>
      <c r="B107" s="89" t="s">
        <v>822</v>
      </c>
      <c r="C107" s="91">
        <v>678</v>
      </c>
      <c r="D107" s="91">
        <v>662</v>
      </c>
      <c r="E107" s="91">
        <v>514</v>
      </c>
      <c r="F107" s="91">
        <v>172</v>
      </c>
      <c r="G107" s="91">
        <v>657</v>
      </c>
      <c r="H107" s="91">
        <v>381</v>
      </c>
      <c r="I107" s="91"/>
      <c r="J107" s="83">
        <v>4.32</v>
      </c>
      <c r="K107" s="83">
        <v>6</v>
      </c>
      <c r="L107" s="82">
        <v>0.72</v>
      </c>
      <c r="M107" s="81">
        <v>720</v>
      </c>
      <c r="N107" s="76" t="s">
        <v>543</v>
      </c>
      <c r="O107" s="75"/>
      <c r="P107" s="75"/>
    </row>
    <row r="108" spans="1:16">
      <c r="A108" s="67" t="s">
        <v>1968</v>
      </c>
      <c r="B108" s="67" t="s">
        <v>826</v>
      </c>
      <c r="C108" s="90">
        <v>476</v>
      </c>
      <c r="D108" s="90">
        <v>463</v>
      </c>
      <c r="E108" s="90">
        <v>378</v>
      </c>
      <c r="F108" s="90">
        <v>119</v>
      </c>
      <c r="G108" s="90">
        <v>468</v>
      </c>
      <c r="H108" s="90">
        <v>252</v>
      </c>
      <c r="I108" s="92"/>
      <c r="J108" s="51">
        <f>+K108*L108</f>
        <v>2.8559999999999999</v>
      </c>
      <c r="K108" s="50">
        <v>6</v>
      </c>
      <c r="L108" s="49">
        <f>+M108/1000</f>
        <v>0.47599999999999998</v>
      </c>
      <c r="M108" s="48">
        <f>+C108</f>
        <v>476</v>
      </c>
      <c r="N108" s="76" t="s">
        <v>545</v>
      </c>
      <c r="O108" s="75"/>
      <c r="P108" s="75"/>
    </row>
    <row r="109" spans="1:16">
      <c r="A109" s="67" t="s">
        <v>1968</v>
      </c>
      <c r="B109" s="67" t="s">
        <v>857</v>
      </c>
      <c r="C109" s="90">
        <v>724</v>
      </c>
      <c r="D109" s="90">
        <v>711</v>
      </c>
      <c r="E109" s="90">
        <v>575</v>
      </c>
      <c r="F109" s="90">
        <v>182</v>
      </c>
      <c r="G109" s="90">
        <v>708</v>
      </c>
      <c r="H109" s="90">
        <v>427</v>
      </c>
      <c r="I109" s="92"/>
      <c r="J109" s="51">
        <f>+K109*L109</f>
        <v>4.3439999999999994</v>
      </c>
      <c r="K109" s="50">
        <v>6</v>
      </c>
      <c r="L109" s="49">
        <f>+M109/1000</f>
        <v>0.72399999999999998</v>
      </c>
      <c r="M109" s="48">
        <f>+C109</f>
        <v>724</v>
      </c>
      <c r="N109" s="76" t="s">
        <v>547</v>
      </c>
      <c r="O109" s="75"/>
      <c r="P109" s="75"/>
    </row>
    <row r="110" spans="1:16">
      <c r="A110" s="89" t="s">
        <v>1968</v>
      </c>
      <c r="B110" s="89" t="s">
        <v>914</v>
      </c>
      <c r="C110" s="91">
        <v>433</v>
      </c>
      <c r="D110" s="91">
        <v>421</v>
      </c>
      <c r="E110" s="91">
        <v>350</v>
      </c>
      <c r="F110" s="91">
        <v>110</v>
      </c>
      <c r="G110" s="91">
        <v>423</v>
      </c>
      <c r="H110" s="91">
        <v>242</v>
      </c>
      <c r="I110" s="91"/>
      <c r="J110" s="83">
        <v>15.006</v>
      </c>
      <c r="K110" s="83">
        <v>6</v>
      </c>
      <c r="L110" s="82">
        <v>2.5009999999999999</v>
      </c>
      <c r="M110" s="81">
        <v>2501</v>
      </c>
      <c r="N110" s="76" t="s">
        <v>570</v>
      </c>
      <c r="O110" s="75"/>
      <c r="P110" s="75"/>
    </row>
    <row r="111" spans="1:16">
      <c r="A111" s="67" t="s">
        <v>1968</v>
      </c>
      <c r="B111" s="67" t="s">
        <v>1939</v>
      </c>
      <c r="C111" s="90">
        <v>9658</v>
      </c>
      <c r="D111" s="90">
        <v>9520</v>
      </c>
      <c r="E111" s="90">
        <v>8221</v>
      </c>
      <c r="F111" s="90">
        <v>2555</v>
      </c>
      <c r="G111" s="90">
        <v>9513</v>
      </c>
      <c r="H111" s="90">
        <v>5709</v>
      </c>
      <c r="I111" s="92"/>
      <c r="J111" s="51">
        <f>+K111*L111</f>
        <v>48.29</v>
      </c>
      <c r="K111" s="50">
        <v>5</v>
      </c>
      <c r="L111" s="49">
        <f>+M111/1000</f>
        <v>9.6579999999999995</v>
      </c>
      <c r="M111" s="48">
        <f>+C111</f>
        <v>9658</v>
      </c>
      <c r="N111" s="47" t="s">
        <v>918</v>
      </c>
      <c r="O111" s="75"/>
      <c r="P111" s="75"/>
    </row>
    <row r="112" spans="1:16">
      <c r="A112" s="67" t="s">
        <v>1968</v>
      </c>
      <c r="B112" s="67" t="s">
        <v>920</v>
      </c>
      <c r="C112" s="90">
        <v>3227</v>
      </c>
      <c r="D112" s="90">
        <v>3115</v>
      </c>
      <c r="E112" s="90">
        <v>2700</v>
      </c>
      <c r="F112" s="90">
        <v>843</v>
      </c>
      <c r="G112" s="90">
        <v>3150</v>
      </c>
      <c r="H112" s="90">
        <v>1869</v>
      </c>
      <c r="I112" s="92"/>
      <c r="J112" s="51">
        <f>+K112*L112</f>
        <v>19.361999999999998</v>
      </c>
      <c r="K112" s="50">
        <v>6</v>
      </c>
      <c r="L112" s="49">
        <f>+M112/1000</f>
        <v>3.2269999999999999</v>
      </c>
      <c r="M112" s="48">
        <f>+C112</f>
        <v>3227</v>
      </c>
      <c r="N112" s="47" t="s">
        <v>921</v>
      </c>
      <c r="O112" s="75"/>
      <c r="P112" s="75"/>
    </row>
    <row r="113" spans="1:16">
      <c r="A113" s="67" t="s">
        <v>1968</v>
      </c>
      <c r="B113" s="67" t="s">
        <v>1975</v>
      </c>
      <c r="C113" s="90">
        <v>760</v>
      </c>
      <c r="D113" s="90">
        <v>751</v>
      </c>
      <c r="E113" s="90">
        <v>657</v>
      </c>
      <c r="F113" s="90">
        <v>269</v>
      </c>
      <c r="G113" s="90">
        <v>748</v>
      </c>
      <c r="H113" s="90">
        <v>549</v>
      </c>
      <c r="I113" s="92"/>
      <c r="J113" s="51">
        <f>+K113*L113</f>
        <v>4.5600000000000005</v>
      </c>
      <c r="K113" s="50">
        <v>6</v>
      </c>
      <c r="L113" s="49">
        <f>+M113/1000</f>
        <v>0.76</v>
      </c>
      <c r="M113" s="48">
        <f>+C113</f>
        <v>760</v>
      </c>
      <c r="N113" s="76" t="s">
        <v>584</v>
      </c>
      <c r="O113" s="75"/>
      <c r="P113" s="75"/>
    </row>
    <row r="114" spans="1:16">
      <c r="A114" s="89" t="s">
        <v>1968</v>
      </c>
      <c r="B114" s="89" t="s">
        <v>953</v>
      </c>
      <c r="C114" s="91">
        <v>302</v>
      </c>
      <c r="D114" s="91">
        <v>298</v>
      </c>
      <c r="E114" s="91">
        <v>227</v>
      </c>
      <c r="F114" s="91">
        <v>56</v>
      </c>
      <c r="G114" s="91">
        <v>293</v>
      </c>
      <c r="H114" s="91">
        <v>144</v>
      </c>
      <c r="I114" s="91"/>
      <c r="J114" s="83">
        <v>3.9119999999999999</v>
      </c>
      <c r="K114" s="83">
        <v>6</v>
      </c>
      <c r="L114" s="82">
        <v>0.65200000000000002</v>
      </c>
      <c r="M114" s="81">
        <v>652</v>
      </c>
      <c r="N114" s="76" t="s">
        <v>606</v>
      </c>
      <c r="O114" s="75"/>
      <c r="P114" s="75"/>
    </row>
    <row r="115" spans="1:16">
      <c r="A115" s="67" t="s">
        <v>1968</v>
      </c>
      <c r="B115" s="67" t="s">
        <v>1061</v>
      </c>
      <c r="C115" s="90">
        <v>1886</v>
      </c>
      <c r="D115" s="90">
        <v>1801</v>
      </c>
      <c r="E115" s="90">
        <v>1621</v>
      </c>
      <c r="F115" s="90">
        <v>575</v>
      </c>
      <c r="G115" s="90">
        <v>1861</v>
      </c>
      <c r="H115" s="90">
        <v>1184</v>
      </c>
      <c r="I115" s="92"/>
      <c r="J115" s="51">
        <f t="shared" ref="J115:J158" si="12">+K115*L115</f>
        <v>11.315999999999999</v>
      </c>
      <c r="K115" s="50">
        <v>6</v>
      </c>
      <c r="L115" s="49">
        <f t="shared" ref="L115:L158" si="13">+M115/1000</f>
        <v>1.8859999999999999</v>
      </c>
      <c r="M115" s="48">
        <f t="shared" ref="M115:M158" si="14">+C115</f>
        <v>1886</v>
      </c>
      <c r="N115" s="47" t="s">
        <v>1062</v>
      </c>
      <c r="O115" s="75"/>
      <c r="P115" s="75"/>
    </row>
    <row r="116" spans="1:16">
      <c r="A116" s="67" t="s">
        <v>1968</v>
      </c>
      <c r="B116" s="67" t="s">
        <v>1085</v>
      </c>
      <c r="C116" s="90">
        <v>899</v>
      </c>
      <c r="D116" s="90">
        <v>888</v>
      </c>
      <c r="E116" s="90">
        <v>753</v>
      </c>
      <c r="F116" s="90">
        <v>230</v>
      </c>
      <c r="G116" s="90">
        <v>880</v>
      </c>
      <c r="H116" s="90">
        <v>555</v>
      </c>
      <c r="I116" s="92"/>
      <c r="J116" s="51">
        <f t="shared" si="12"/>
        <v>5.3940000000000001</v>
      </c>
      <c r="K116" s="50">
        <v>6</v>
      </c>
      <c r="L116" s="49">
        <f t="shared" si="13"/>
        <v>0.89900000000000002</v>
      </c>
      <c r="M116" s="48">
        <f t="shared" si="14"/>
        <v>899</v>
      </c>
      <c r="N116" s="76" t="s">
        <v>667</v>
      </c>
      <c r="O116" s="75"/>
      <c r="P116" s="75"/>
    </row>
    <row r="117" spans="1:16">
      <c r="A117" s="67" t="s">
        <v>1968</v>
      </c>
      <c r="B117" s="67" t="s">
        <v>1088</v>
      </c>
      <c r="C117" s="90">
        <f>+C116+revisado!C518</f>
        <v>1346</v>
      </c>
      <c r="D117" s="90">
        <f>+D116+revisado!D518</f>
        <v>1324</v>
      </c>
      <c r="E117" s="90">
        <f>+E116+revisado!E518</f>
        <v>1075</v>
      </c>
      <c r="F117" s="90">
        <f>+F116+revisado!F518</f>
        <v>316</v>
      </c>
      <c r="G117" s="90">
        <f>+G116+revisado!G518</f>
        <v>1311</v>
      </c>
      <c r="H117" s="90">
        <f>+H116+revisado!H518</f>
        <v>769</v>
      </c>
      <c r="I117" s="92"/>
      <c r="J117" s="51">
        <f t="shared" si="12"/>
        <v>8.0760000000000005</v>
      </c>
      <c r="K117" s="50">
        <v>6</v>
      </c>
      <c r="L117" s="49">
        <f t="shared" si="13"/>
        <v>1.3460000000000001</v>
      </c>
      <c r="M117" s="48">
        <f t="shared" si="14"/>
        <v>1346</v>
      </c>
      <c r="N117" s="76" t="s">
        <v>674</v>
      </c>
      <c r="O117" s="75"/>
      <c r="P117" s="75"/>
    </row>
    <row r="118" spans="1:16">
      <c r="A118" s="67" t="s">
        <v>1968</v>
      </c>
      <c r="B118" s="67" t="s">
        <v>1104</v>
      </c>
      <c r="C118" s="90">
        <v>653</v>
      </c>
      <c r="D118" s="90">
        <v>635</v>
      </c>
      <c r="E118" s="90">
        <v>474</v>
      </c>
      <c r="F118" s="90">
        <v>157</v>
      </c>
      <c r="G118" s="90">
        <v>642</v>
      </c>
      <c r="H118" s="90">
        <v>362</v>
      </c>
      <c r="I118" s="92"/>
      <c r="J118" s="51">
        <f t="shared" si="12"/>
        <v>3.9180000000000001</v>
      </c>
      <c r="K118" s="50">
        <v>6</v>
      </c>
      <c r="L118" s="49">
        <f t="shared" si="13"/>
        <v>0.65300000000000002</v>
      </c>
      <c r="M118" s="48">
        <f t="shared" si="14"/>
        <v>653</v>
      </c>
      <c r="N118" s="76" t="s">
        <v>665</v>
      </c>
      <c r="O118" s="75"/>
      <c r="P118" s="75"/>
    </row>
    <row r="119" spans="1:16">
      <c r="A119" s="67" t="s">
        <v>1968</v>
      </c>
      <c r="B119" s="67" t="s">
        <v>1190</v>
      </c>
      <c r="C119" s="90">
        <v>656</v>
      </c>
      <c r="D119" s="90">
        <v>643</v>
      </c>
      <c r="E119" s="90">
        <v>538</v>
      </c>
      <c r="F119" s="90">
        <v>163</v>
      </c>
      <c r="G119" s="90">
        <v>639</v>
      </c>
      <c r="H119" s="90">
        <v>368</v>
      </c>
      <c r="I119" s="92"/>
      <c r="J119" s="51">
        <f t="shared" si="12"/>
        <v>3.9359999999999999</v>
      </c>
      <c r="K119" s="50">
        <v>6</v>
      </c>
      <c r="L119" s="49">
        <f t="shared" si="13"/>
        <v>0.65600000000000003</v>
      </c>
      <c r="M119" s="48">
        <f t="shared" si="14"/>
        <v>656</v>
      </c>
      <c r="N119" s="76" t="s">
        <v>699</v>
      </c>
      <c r="O119" s="75"/>
      <c r="P119" s="75"/>
    </row>
    <row r="120" spans="1:16">
      <c r="A120" s="67" t="s">
        <v>1968</v>
      </c>
      <c r="B120" s="67" t="s">
        <v>1230</v>
      </c>
      <c r="C120" s="90">
        <v>509</v>
      </c>
      <c r="D120" s="90">
        <v>494</v>
      </c>
      <c r="E120" s="90">
        <v>407</v>
      </c>
      <c r="F120" s="90">
        <v>125</v>
      </c>
      <c r="G120" s="90">
        <v>495</v>
      </c>
      <c r="H120" s="90">
        <v>300</v>
      </c>
      <c r="I120" s="92"/>
      <c r="J120" s="51">
        <f t="shared" si="12"/>
        <v>3.0540000000000003</v>
      </c>
      <c r="K120" s="50">
        <v>6</v>
      </c>
      <c r="L120" s="49">
        <f t="shared" si="13"/>
        <v>0.50900000000000001</v>
      </c>
      <c r="M120" s="48">
        <f t="shared" si="14"/>
        <v>509</v>
      </c>
      <c r="N120" s="76" t="s">
        <v>701</v>
      </c>
      <c r="O120" s="75"/>
      <c r="P120" s="75"/>
    </row>
    <row r="121" spans="1:16">
      <c r="A121" s="67" t="s">
        <v>1968</v>
      </c>
      <c r="B121" s="67" t="s">
        <v>1256</v>
      </c>
      <c r="C121" s="90">
        <v>482</v>
      </c>
      <c r="D121" s="90">
        <v>467</v>
      </c>
      <c r="E121" s="90">
        <v>363</v>
      </c>
      <c r="F121" s="90">
        <v>88</v>
      </c>
      <c r="G121" s="90">
        <v>465</v>
      </c>
      <c r="H121" s="90">
        <v>225</v>
      </c>
      <c r="I121" s="92"/>
      <c r="J121" s="51">
        <f t="shared" si="12"/>
        <v>2.8919999999999999</v>
      </c>
      <c r="K121" s="50">
        <v>6</v>
      </c>
      <c r="L121" s="49">
        <f t="shared" si="13"/>
        <v>0.48199999999999998</v>
      </c>
      <c r="M121" s="48">
        <f t="shared" si="14"/>
        <v>482</v>
      </c>
      <c r="N121" s="76" t="s">
        <v>738</v>
      </c>
      <c r="O121" s="85"/>
      <c r="P121" s="75"/>
    </row>
    <row r="122" spans="1:16">
      <c r="A122" s="67" t="s">
        <v>1968</v>
      </c>
      <c r="B122" s="67" t="s">
        <v>1978</v>
      </c>
      <c r="C122" s="90">
        <v>1381</v>
      </c>
      <c r="D122" s="90">
        <v>1362</v>
      </c>
      <c r="E122" s="90">
        <v>1086</v>
      </c>
      <c r="F122" s="90">
        <v>324</v>
      </c>
      <c r="G122" s="90">
        <v>1350</v>
      </c>
      <c r="H122" s="90">
        <v>768</v>
      </c>
      <c r="I122" s="92"/>
      <c r="J122" s="51">
        <f t="shared" si="12"/>
        <v>8.2859999999999996</v>
      </c>
      <c r="K122" s="50">
        <v>6</v>
      </c>
      <c r="L122" s="49">
        <f t="shared" si="13"/>
        <v>1.381</v>
      </c>
      <c r="M122" s="48">
        <f t="shared" si="14"/>
        <v>1381</v>
      </c>
      <c r="N122" s="76" t="s">
        <v>922</v>
      </c>
      <c r="O122" s="75"/>
      <c r="P122" s="75"/>
    </row>
    <row r="123" spans="1:16">
      <c r="A123" s="67" t="s">
        <v>1968</v>
      </c>
      <c r="B123" s="67" t="s">
        <v>1259</v>
      </c>
      <c r="C123" s="90">
        <v>578</v>
      </c>
      <c r="D123" s="90">
        <v>566</v>
      </c>
      <c r="E123" s="90">
        <v>432</v>
      </c>
      <c r="F123" s="90">
        <v>132</v>
      </c>
      <c r="G123" s="90">
        <v>563</v>
      </c>
      <c r="H123" s="90">
        <v>304</v>
      </c>
      <c r="I123" s="92"/>
      <c r="J123" s="51">
        <f t="shared" si="12"/>
        <v>3.468</v>
      </c>
      <c r="K123" s="50">
        <v>6</v>
      </c>
      <c r="L123" s="49">
        <f t="shared" si="13"/>
        <v>0.57799999999999996</v>
      </c>
      <c r="M123" s="48">
        <f t="shared" si="14"/>
        <v>578</v>
      </c>
      <c r="N123" s="76" t="s">
        <v>755</v>
      </c>
      <c r="O123" s="75"/>
      <c r="P123" s="75"/>
    </row>
    <row r="124" spans="1:16">
      <c r="A124" s="67" t="s">
        <v>1968</v>
      </c>
      <c r="B124" s="67" t="s">
        <v>1262</v>
      </c>
      <c r="C124" s="90">
        <v>2651</v>
      </c>
      <c r="D124" s="90">
        <v>2582</v>
      </c>
      <c r="E124" s="90">
        <v>2248</v>
      </c>
      <c r="F124" s="90">
        <v>667</v>
      </c>
      <c r="G124" s="90">
        <v>2594</v>
      </c>
      <c r="H124" s="90">
        <v>1485</v>
      </c>
      <c r="I124" s="92"/>
      <c r="J124" s="51">
        <f t="shared" si="12"/>
        <v>15.905999999999999</v>
      </c>
      <c r="K124" s="50">
        <v>6</v>
      </c>
      <c r="L124" s="49">
        <f t="shared" si="13"/>
        <v>2.6509999999999998</v>
      </c>
      <c r="M124" s="48">
        <f t="shared" si="14"/>
        <v>2651</v>
      </c>
      <c r="N124" s="47" t="s">
        <v>1263</v>
      </c>
      <c r="O124" s="75"/>
      <c r="P124" s="75"/>
    </row>
    <row r="125" spans="1:16">
      <c r="A125" s="67" t="s">
        <v>1968</v>
      </c>
      <c r="B125" s="67" t="s">
        <v>1358</v>
      </c>
      <c r="C125" s="90">
        <v>533</v>
      </c>
      <c r="D125" s="90">
        <v>525</v>
      </c>
      <c r="E125" s="90">
        <v>403</v>
      </c>
      <c r="F125" s="90">
        <v>124</v>
      </c>
      <c r="G125" s="90">
        <v>524</v>
      </c>
      <c r="H125" s="90">
        <v>322</v>
      </c>
      <c r="I125" s="92"/>
      <c r="J125" s="51">
        <f t="shared" si="12"/>
        <v>3.1980000000000004</v>
      </c>
      <c r="K125" s="50">
        <v>6</v>
      </c>
      <c r="L125" s="49">
        <f t="shared" si="13"/>
        <v>0.53300000000000003</v>
      </c>
      <c r="M125" s="48">
        <f t="shared" si="14"/>
        <v>533</v>
      </c>
      <c r="N125" s="76" t="s">
        <v>806</v>
      </c>
      <c r="O125" s="75"/>
      <c r="P125" s="75"/>
    </row>
    <row r="126" spans="1:16">
      <c r="A126" s="67" t="s">
        <v>1968</v>
      </c>
      <c r="B126" s="67" t="s">
        <v>1366</v>
      </c>
      <c r="C126" s="90">
        <v>720</v>
      </c>
      <c r="D126" s="90">
        <v>708</v>
      </c>
      <c r="E126" s="90">
        <v>597</v>
      </c>
      <c r="F126" s="90">
        <v>169</v>
      </c>
      <c r="G126" s="90">
        <v>711</v>
      </c>
      <c r="H126" s="90">
        <v>415</v>
      </c>
      <c r="I126" s="92"/>
      <c r="J126" s="51">
        <f t="shared" si="12"/>
        <v>4.32</v>
      </c>
      <c r="K126" s="50">
        <v>6</v>
      </c>
      <c r="L126" s="49">
        <f t="shared" si="13"/>
        <v>0.72</v>
      </c>
      <c r="M126" s="48">
        <f t="shared" si="14"/>
        <v>720</v>
      </c>
      <c r="N126" s="76" t="s">
        <v>823</v>
      </c>
      <c r="O126" s="75"/>
      <c r="P126" s="75"/>
    </row>
    <row r="127" spans="1:16">
      <c r="A127" s="67" t="s">
        <v>1968</v>
      </c>
      <c r="B127" s="67" t="s">
        <v>1402</v>
      </c>
      <c r="C127" s="90">
        <v>687</v>
      </c>
      <c r="D127" s="90">
        <v>682</v>
      </c>
      <c r="E127" s="90">
        <v>555</v>
      </c>
      <c r="F127" s="90">
        <v>181</v>
      </c>
      <c r="G127" s="90">
        <v>681</v>
      </c>
      <c r="H127" s="90">
        <v>369</v>
      </c>
      <c r="I127" s="92"/>
      <c r="J127" s="51">
        <f t="shared" si="12"/>
        <v>4.1219999999999999</v>
      </c>
      <c r="K127" s="50">
        <v>6</v>
      </c>
      <c r="L127" s="49">
        <f t="shared" si="13"/>
        <v>0.68700000000000006</v>
      </c>
      <c r="M127" s="48">
        <f t="shared" si="14"/>
        <v>687</v>
      </c>
      <c r="N127" s="76" t="s">
        <v>853</v>
      </c>
      <c r="O127" s="75"/>
      <c r="P127" s="75"/>
    </row>
    <row r="128" spans="1:16">
      <c r="A128" s="67" t="s">
        <v>1968</v>
      </c>
      <c r="B128" s="67" t="s">
        <v>1450</v>
      </c>
      <c r="C128" s="90">
        <v>922</v>
      </c>
      <c r="D128" s="90">
        <v>903</v>
      </c>
      <c r="E128" s="90">
        <v>768</v>
      </c>
      <c r="F128" s="90">
        <v>253</v>
      </c>
      <c r="G128" s="90">
        <v>909</v>
      </c>
      <c r="H128" s="90">
        <v>565</v>
      </c>
      <c r="I128" s="92"/>
      <c r="J128" s="51">
        <f t="shared" si="12"/>
        <v>5.532</v>
      </c>
      <c r="K128" s="50">
        <v>6</v>
      </c>
      <c r="L128" s="49">
        <f t="shared" si="13"/>
        <v>0.92200000000000004</v>
      </c>
      <c r="M128" s="48">
        <f t="shared" si="14"/>
        <v>922</v>
      </c>
      <c r="N128" s="76" t="s">
        <v>888</v>
      </c>
      <c r="O128" s="75"/>
      <c r="P128" s="75"/>
    </row>
    <row r="129" spans="1:16">
      <c r="A129" s="67" t="s">
        <v>1968</v>
      </c>
      <c r="B129" s="67" t="s">
        <v>1452</v>
      </c>
      <c r="C129" s="90">
        <v>589</v>
      </c>
      <c r="D129" s="90">
        <v>577</v>
      </c>
      <c r="E129" s="90">
        <v>462</v>
      </c>
      <c r="F129" s="90">
        <v>162</v>
      </c>
      <c r="G129" s="90">
        <v>581</v>
      </c>
      <c r="H129" s="90">
        <v>326</v>
      </c>
      <c r="I129" s="92"/>
      <c r="J129" s="51">
        <f t="shared" si="12"/>
        <v>3.5339999999999998</v>
      </c>
      <c r="K129" s="50">
        <v>6</v>
      </c>
      <c r="L129" s="49">
        <f t="shared" si="13"/>
        <v>0.58899999999999997</v>
      </c>
      <c r="M129" s="48">
        <f t="shared" si="14"/>
        <v>589</v>
      </c>
      <c r="N129" s="76" t="s">
        <v>890</v>
      </c>
      <c r="O129" s="75"/>
      <c r="P129" s="75"/>
    </row>
    <row r="130" spans="1:16">
      <c r="A130" s="67" t="s">
        <v>1968</v>
      </c>
      <c r="B130" s="67" t="s">
        <v>1493</v>
      </c>
      <c r="C130" s="90">
        <v>2501</v>
      </c>
      <c r="D130" s="90">
        <v>2489</v>
      </c>
      <c r="E130" s="90">
        <v>2116</v>
      </c>
      <c r="F130" s="90">
        <v>803</v>
      </c>
      <c r="G130" s="90">
        <v>2456</v>
      </c>
      <c r="H130" s="90">
        <v>1658</v>
      </c>
      <c r="I130" s="92"/>
      <c r="J130" s="51">
        <f t="shared" si="12"/>
        <v>15.006</v>
      </c>
      <c r="K130" s="50">
        <v>6</v>
      </c>
      <c r="L130" s="49">
        <f t="shared" si="13"/>
        <v>2.5009999999999999</v>
      </c>
      <c r="M130" s="48">
        <f t="shared" si="14"/>
        <v>2501</v>
      </c>
      <c r="N130" s="76" t="s">
        <v>959</v>
      </c>
      <c r="O130" s="75"/>
      <c r="P130" s="75"/>
    </row>
    <row r="131" spans="1:16">
      <c r="A131" s="67" t="s">
        <v>1968</v>
      </c>
      <c r="B131" s="67" t="s">
        <v>1501</v>
      </c>
      <c r="C131" s="90">
        <v>1937</v>
      </c>
      <c r="D131" s="90">
        <v>1903</v>
      </c>
      <c r="E131" s="90">
        <v>1576</v>
      </c>
      <c r="F131" s="90">
        <v>461</v>
      </c>
      <c r="G131" s="90">
        <v>1894</v>
      </c>
      <c r="H131" s="90">
        <v>1106</v>
      </c>
      <c r="I131" s="92"/>
      <c r="J131" s="51">
        <f t="shared" si="12"/>
        <v>11.622</v>
      </c>
      <c r="K131" s="50">
        <v>6</v>
      </c>
      <c r="L131" s="49">
        <f t="shared" si="13"/>
        <v>1.9370000000000001</v>
      </c>
      <c r="M131" s="48">
        <f t="shared" si="14"/>
        <v>1937</v>
      </c>
      <c r="N131" s="47" t="s">
        <v>1502</v>
      </c>
      <c r="O131" s="75"/>
      <c r="P131" s="75"/>
    </row>
    <row r="132" spans="1:16">
      <c r="A132" s="67" t="s">
        <v>1968</v>
      </c>
      <c r="B132" s="67" t="s">
        <v>1504</v>
      </c>
      <c r="C132" s="90">
        <v>1080</v>
      </c>
      <c r="D132" s="90">
        <v>1070</v>
      </c>
      <c r="E132" s="90">
        <v>922</v>
      </c>
      <c r="F132" s="90">
        <v>259</v>
      </c>
      <c r="G132" s="90">
        <v>1049</v>
      </c>
      <c r="H132" s="90">
        <v>625</v>
      </c>
      <c r="I132" s="92"/>
      <c r="J132" s="51">
        <f t="shared" si="12"/>
        <v>6.48</v>
      </c>
      <c r="K132" s="50">
        <v>6</v>
      </c>
      <c r="L132" s="49">
        <f t="shared" si="13"/>
        <v>1.08</v>
      </c>
      <c r="M132" s="48">
        <f t="shared" si="14"/>
        <v>1080</v>
      </c>
      <c r="N132" s="76" t="s">
        <v>927</v>
      </c>
      <c r="O132" s="75"/>
      <c r="P132" s="75"/>
    </row>
    <row r="133" spans="1:16">
      <c r="A133" s="67" t="s">
        <v>1968</v>
      </c>
      <c r="B133" s="67" t="s">
        <v>1510</v>
      </c>
      <c r="C133" s="90">
        <v>526</v>
      </c>
      <c r="D133" s="90">
        <v>517</v>
      </c>
      <c r="E133" s="90">
        <v>434</v>
      </c>
      <c r="F133" s="90">
        <v>136</v>
      </c>
      <c r="G133" s="90">
        <v>522</v>
      </c>
      <c r="H133" s="90">
        <v>277</v>
      </c>
      <c r="I133" s="92"/>
      <c r="J133" s="51">
        <f t="shared" si="12"/>
        <v>3.1560000000000001</v>
      </c>
      <c r="K133" s="50">
        <v>6</v>
      </c>
      <c r="L133" s="49">
        <f t="shared" si="13"/>
        <v>0.52600000000000002</v>
      </c>
      <c r="M133" s="48">
        <f t="shared" si="14"/>
        <v>526</v>
      </c>
      <c r="N133" s="76" t="s">
        <v>945</v>
      </c>
      <c r="O133" s="75"/>
      <c r="P133" s="75"/>
    </row>
    <row r="134" spans="1:16">
      <c r="A134" s="67" t="s">
        <v>1968</v>
      </c>
      <c r="B134" s="67" t="s">
        <v>1729</v>
      </c>
      <c r="C134" s="90">
        <v>652</v>
      </c>
      <c r="D134" s="90">
        <v>635</v>
      </c>
      <c r="E134" s="90">
        <v>519</v>
      </c>
      <c r="F134" s="90">
        <v>142</v>
      </c>
      <c r="G134" s="90">
        <v>637</v>
      </c>
      <c r="H134" s="90">
        <v>341</v>
      </c>
      <c r="I134" s="92"/>
      <c r="J134" s="51">
        <f t="shared" si="12"/>
        <v>3.9119999999999999</v>
      </c>
      <c r="K134" s="50">
        <v>6</v>
      </c>
      <c r="L134" s="49">
        <f t="shared" si="13"/>
        <v>0.65200000000000002</v>
      </c>
      <c r="M134" s="48">
        <f t="shared" si="14"/>
        <v>652</v>
      </c>
      <c r="N134" s="76" t="s">
        <v>954</v>
      </c>
      <c r="O134" s="75"/>
      <c r="P134" s="75"/>
    </row>
    <row r="135" spans="1:16">
      <c r="A135" s="67" t="s">
        <v>1968</v>
      </c>
      <c r="B135" s="67" t="s">
        <v>1778</v>
      </c>
      <c r="C135" s="90">
        <v>1466</v>
      </c>
      <c r="D135" s="90">
        <v>1428</v>
      </c>
      <c r="E135" s="90">
        <v>1193</v>
      </c>
      <c r="F135" s="90">
        <v>349</v>
      </c>
      <c r="G135" s="90">
        <v>1452</v>
      </c>
      <c r="H135" s="90">
        <v>835</v>
      </c>
      <c r="I135" s="92"/>
      <c r="J135" s="51">
        <f t="shared" si="12"/>
        <v>8.7959999999999994</v>
      </c>
      <c r="K135" s="50">
        <v>6</v>
      </c>
      <c r="L135" s="49">
        <f t="shared" si="13"/>
        <v>1.466</v>
      </c>
      <c r="M135" s="48">
        <f t="shared" si="14"/>
        <v>1466</v>
      </c>
      <c r="N135" s="76" t="s">
        <v>957</v>
      </c>
      <c r="O135" s="75"/>
      <c r="P135" s="75"/>
    </row>
    <row r="136" spans="1:16" s="5" customFormat="1" ht="12">
      <c r="A136" s="67" t="s">
        <v>1968</v>
      </c>
      <c r="B136" s="67" t="s">
        <v>1807</v>
      </c>
      <c r="C136" s="90">
        <v>600</v>
      </c>
      <c r="D136" s="90">
        <v>589</v>
      </c>
      <c r="E136" s="90">
        <v>495</v>
      </c>
      <c r="F136" s="90">
        <v>169</v>
      </c>
      <c r="G136" s="90">
        <v>591</v>
      </c>
      <c r="H136" s="90">
        <v>358</v>
      </c>
      <c r="I136" s="92"/>
      <c r="J136" s="51">
        <f t="shared" si="12"/>
        <v>3.5999999999999996</v>
      </c>
      <c r="K136" s="50">
        <v>6</v>
      </c>
      <c r="L136" s="49">
        <f t="shared" si="13"/>
        <v>0.6</v>
      </c>
      <c r="M136" s="48">
        <f t="shared" si="14"/>
        <v>600</v>
      </c>
      <c r="N136" s="76" t="s">
        <v>915</v>
      </c>
      <c r="O136" s="75"/>
      <c r="P136" s="75"/>
    </row>
    <row r="137" spans="1:16" s="5" customFormat="1" ht="12">
      <c r="A137" s="67" t="s">
        <v>1968</v>
      </c>
      <c r="B137" s="67" t="s">
        <v>1811</v>
      </c>
      <c r="C137" s="90">
        <v>5379</v>
      </c>
      <c r="D137" s="90">
        <v>5313</v>
      </c>
      <c r="E137" s="90">
        <v>4498</v>
      </c>
      <c r="F137" s="90">
        <v>1355</v>
      </c>
      <c r="G137" s="90">
        <v>5334</v>
      </c>
      <c r="H137" s="90">
        <v>3298</v>
      </c>
      <c r="I137" s="92"/>
      <c r="J137" s="51">
        <f t="shared" si="12"/>
        <v>32.274000000000001</v>
      </c>
      <c r="K137" s="50">
        <v>6</v>
      </c>
      <c r="L137" s="49">
        <f t="shared" si="13"/>
        <v>5.3789999999999996</v>
      </c>
      <c r="M137" s="48">
        <f t="shared" si="14"/>
        <v>5379</v>
      </c>
      <c r="N137" s="47" t="s">
        <v>1812</v>
      </c>
      <c r="O137" s="75"/>
      <c r="P137" s="75"/>
    </row>
    <row r="138" spans="1:16" s="5" customFormat="1" ht="12">
      <c r="A138" s="67" t="s">
        <v>1968</v>
      </c>
      <c r="B138" s="67" t="s">
        <v>1902</v>
      </c>
      <c r="C138" s="90">
        <v>2324</v>
      </c>
      <c r="D138" s="90">
        <v>2209</v>
      </c>
      <c r="E138" s="90">
        <v>1987</v>
      </c>
      <c r="F138" s="90">
        <v>667</v>
      </c>
      <c r="G138" s="90">
        <v>2294</v>
      </c>
      <c r="H138" s="90">
        <v>1379</v>
      </c>
      <c r="I138" s="92"/>
      <c r="J138" s="51">
        <f t="shared" si="12"/>
        <v>13.943999999999999</v>
      </c>
      <c r="K138" s="50">
        <v>6</v>
      </c>
      <c r="L138" s="49">
        <f t="shared" si="13"/>
        <v>2.3239999999999998</v>
      </c>
      <c r="M138" s="48">
        <f t="shared" si="14"/>
        <v>2324</v>
      </c>
      <c r="N138" s="47" t="s">
        <v>1903</v>
      </c>
      <c r="O138" s="75"/>
      <c r="P138" s="75"/>
    </row>
    <row r="139" spans="1:16" s="5" customFormat="1" ht="12">
      <c r="A139" s="67" t="s">
        <v>1968</v>
      </c>
      <c r="B139" s="67" t="s">
        <v>1940</v>
      </c>
      <c r="C139" s="90">
        <v>357</v>
      </c>
      <c r="D139" s="90">
        <v>355</v>
      </c>
      <c r="E139" s="90">
        <v>281</v>
      </c>
      <c r="F139" s="90">
        <v>86</v>
      </c>
      <c r="G139" s="90">
        <v>354</v>
      </c>
      <c r="H139" s="90">
        <v>193</v>
      </c>
      <c r="I139" s="92"/>
      <c r="J139" s="51">
        <f t="shared" si="12"/>
        <v>2.1419999999999999</v>
      </c>
      <c r="K139" s="50">
        <v>6</v>
      </c>
      <c r="L139" s="49">
        <f t="shared" si="13"/>
        <v>0.35699999999999998</v>
      </c>
      <c r="M139" s="48">
        <f t="shared" si="14"/>
        <v>357</v>
      </c>
      <c r="N139" s="76" t="s">
        <v>1020</v>
      </c>
      <c r="O139" s="75"/>
      <c r="P139" s="75"/>
    </row>
    <row r="140" spans="1:16" s="5" customFormat="1" ht="12">
      <c r="A140" s="40" t="s">
        <v>65</v>
      </c>
      <c r="B140" s="40" t="s">
        <v>66</v>
      </c>
      <c r="C140" s="97">
        <v>1108</v>
      </c>
      <c r="D140" s="97">
        <v>1080</v>
      </c>
      <c r="E140" s="97">
        <v>824</v>
      </c>
      <c r="F140" s="97">
        <v>211</v>
      </c>
      <c r="G140" s="97">
        <v>1064</v>
      </c>
      <c r="H140" s="97">
        <v>518</v>
      </c>
      <c r="I140" s="98"/>
      <c r="J140" s="10">
        <f t="shared" si="12"/>
        <v>6.6480000000000006</v>
      </c>
      <c r="K140" s="11">
        <v>6</v>
      </c>
      <c r="L140" s="12">
        <f t="shared" si="13"/>
        <v>1.1080000000000001</v>
      </c>
      <c r="M140" s="13">
        <f t="shared" si="14"/>
        <v>1108</v>
      </c>
      <c r="N140" s="14" t="s">
        <v>67</v>
      </c>
    </row>
    <row r="141" spans="1:16" s="5" customFormat="1" ht="12">
      <c r="A141" s="40" t="s">
        <v>65</v>
      </c>
      <c r="B141" s="40" t="s">
        <v>65</v>
      </c>
      <c r="C141" s="97">
        <v>10538</v>
      </c>
      <c r="D141" s="97">
        <v>10332</v>
      </c>
      <c r="E141" s="97">
        <v>8634</v>
      </c>
      <c r="F141" s="97">
        <v>2787</v>
      </c>
      <c r="G141" s="97">
        <v>10249</v>
      </c>
      <c r="H141" s="97">
        <v>6138</v>
      </c>
      <c r="I141" s="98"/>
      <c r="J141" s="10">
        <f t="shared" si="12"/>
        <v>52.69</v>
      </c>
      <c r="K141" s="11">
        <v>5</v>
      </c>
      <c r="L141" s="12">
        <f t="shared" si="13"/>
        <v>10.538</v>
      </c>
      <c r="M141" s="13">
        <f t="shared" si="14"/>
        <v>10538</v>
      </c>
      <c r="N141" s="16" t="s">
        <v>228</v>
      </c>
    </row>
    <row r="142" spans="1:16" s="5" customFormat="1" ht="12">
      <c r="A142" s="40" t="s">
        <v>65</v>
      </c>
      <c r="B142" s="40" t="s">
        <v>882</v>
      </c>
      <c r="C142" s="97">
        <v>2962</v>
      </c>
      <c r="D142" s="97">
        <v>2915</v>
      </c>
      <c r="E142" s="97">
        <v>2454</v>
      </c>
      <c r="F142" s="97">
        <v>667</v>
      </c>
      <c r="G142" s="97">
        <v>2899</v>
      </c>
      <c r="H142" s="97">
        <v>1602</v>
      </c>
      <c r="I142" s="98"/>
      <c r="J142" s="10">
        <f t="shared" si="12"/>
        <v>17.772000000000002</v>
      </c>
      <c r="K142" s="11">
        <v>6</v>
      </c>
      <c r="L142" s="12">
        <f t="shared" si="13"/>
        <v>2.9620000000000002</v>
      </c>
      <c r="M142" s="13">
        <f t="shared" si="14"/>
        <v>2962</v>
      </c>
      <c r="N142" s="16" t="s">
        <v>883</v>
      </c>
    </row>
    <row r="143" spans="1:16" s="5" customFormat="1" ht="12">
      <c r="A143" s="40" t="s">
        <v>27</v>
      </c>
      <c r="B143" s="40" t="s">
        <v>28</v>
      </c>
      <c r="C143" s="97">
        <v>353</v>
      </c>
      <c r="D143" s="97">
        <v>321</v>
      </c>
      <c r="E143" s="97">
        <v>233</v>
      </c>
      <c r="F143" s="97">
        <v>94</v>
      </c>
      <c r="G143" s="97">
        <v>305</v>
      </c>
      <c r="H143" s="97">
        <v>186</v>
      </c>
      <c r="I143" s="98"/>
      <c r="J143" s="10">
        <f t="shared" si="12"/>
        <v>2.1179999999999999</v>
      </c>
      <c r="K143" s="11">
        <v>6</v>
      </c>
      <c r="L143" s="12">
        <f t="shared" si="13"/>
        <v>0.35299999999999998</v>
      </c>
      <c r="M143" s="13">
        <f t="shared" si="14"/>
        <v>353</v>
      </c>
      <c r="N143" s="14" t="s">
        <v>29</v>
      </c>
    </row>
    <row r="144" spans="1:16" s="5" customFormat="1" ht="12">
      <c r="A144" s="40" t="s">
        <v>27</v>
      </c>
      <c r="B144" s="40" t="s">
        <v>41</v>
      </c>
      <c r="C144" s="97">
        <v>333</v>
      </c>
      <c r="D144" s="97">
        <v>302</v>
      </c>
      <c r="E144" s="97">
        <v>200</v>
      </c>
      <c r="F144" s="97">
        <v>82</v>
      </c>
      <c r="G144" s="97">
        <v>290</v>
      </c>
      <c r="H144" s="97">
        <v>159</v>
      </c>
      <c r="I144" s="98"/>
      <c r="J144" s="10">
        <f t="shared" si="12"/>
        <v>1.9980000000000002</v>
      </c>
      <c r="K144" s="11">
        <v>6</v>
      </c>
      <c r="L144" s="12">
        <f t="shared" si="13"/>
        <v>0.33300000000000002</v>
      </c>
      <c r="M144" s="13">
        <f t="shared" si="14"/>
        <v>333</v>
      </c>
      <c r="N144" s="14" t="s">
        <v>42</v>
      </c>
    </row>
    <row r="145" spans="1:16" s="5" customFormat="1" ht="12">
      <c r="A145" s="40" t="s">
        <v>27</v>
      </c>
      <c r="B145" s="40" t="s">
        <v>46</v>
      </c>
      <c r="C145" s="97">
        <v>1113</v>
      </c>
      <c r="D145" s="97">
        <v>1099</v>
      </c>
      <c r="E145" s="97">
        <v>913</v>
      </c>
      <c r="F145" s="97">
        <v>255</v>
      </c>
      <c r="G145" s="97">
        <v>1094</v>
      </c>
      <c r="H145" s="97">
        <v>602</v>
      </c>
      <c r="I145" s="98"/>
      <c r="J145" s="10">
        <f t="shared" si="12"/>
        <v>6.6779999999999999</v>
      </c>
      <c r="K145" s="11">
        <v>6</v>
      </c>
      <c r="L145" s="12">
        <f t="shared" si="13"/>
        <v>1.113</v>
      </c>
      <c r="M145" s="13">
        <f t="shared" si="14"/>
        <v>1113</v>
      </c>
      <c r="N145" s="14" t="s">
        <v>47</v>
      </c>
    </row>
    <row r="146" spans="1:16" s="5" customFormat="1" ht="12">
      <c r="A146" s="40" t="s">
        <v>27</v>
      </c>
      <c r="B146" s="40" t="s">
        <v>54</v>
      </c>
      <c r="C146" s="97">
        <v>578</v>
      </c>
      <c r="D146" s="97">
        <v>570</v>
      </c>
      <c r="E146" s="97">
        <v>452</v>
      </c>
      <c r="F146" s="97">
        <v>122</v>
      </c>
      <c r="G146" s="97">
        <v>560</v>
      </c>
      <c r="H146" s="97">
        <v>303</v>
      </c>
      <c r="I146" s="98"/>
      <c r="J146" s="10">
        <f t="shared" si="12"/>
        <v>3.468</v>
      </c>
      <c r="K146" s="11">
        <v>6</v>
      </c>
      <c r="L146" s="12">
        <f t="shared" si="13"/>
        <v>0.57799999999999996</v>
      </c>
      <c r="M146" s="13">
        <f t="shared" si="14"/>
        <v>578</v>
      </c>
      <c r="N146" s="14" t="s">
        <v>55</v>
      </c>
    </row>
    <row r="147" spans="1:16" s="5" customFormat="1" ht="12">
      <c r="A147" s="40" t="s">
        <v>27</v>
      </c>
      <c r="B147" s="40" t="s">
        <v>1000</v>
      </c>
      <c r="C147" s="97">
        <v>15560</v>
      </c>
      <c r="D147" s="97">
        <v>15494</v>
      </c>
      <c r="E147" s="97">
        <v>13264</v>
      </c>
      <c r="F147" s="97">
        <v>4436</v>
      </c>
      <c r="G147" s="97">
        <v>15276</v>
      </c>
      <c r="H147" s="97">
        <v>9803</v>
      </c>
      <c r="I147" s="98"/>
      <c r="J147" s="10">
        <f t="shared" si="12"/>
        <v>77.8</v>
      </c>
      <c r="K147" s="11">
        <v>5</v>
      </c>
      <c r="L147" s="12">
        <f t="shared" si="13"/>
        <v>15.56</v>
      </c>
      <c r="M147" s="13">
        <f t="shared" si="14"/>
        <v>15560</v>
      </c>
      <c r="N147" s="16" t="s">
        <v>1001</v>
      </c>
    </row>
    <row r="148" spans="1:16" s="5" customFormat="1" ht="12">
      <c r="A148" s="40" t="s">
        <v>27</v>
      </c>
      <c r="B148" s="40" t="s">
        <v>1465</v>
      </c>
      <c r="C148" s="97">
        <v>8845</v>
      </c>
      <c r="D148" s="97">
        <v>8784</v>
      </c>
      <c r="E148" s="97">
        <v>7634</v>
      </c>
      <c r="F148" s="97">
        <v>2628</v>
      </c>
      <c r="G148" s="97">
        <v>8703</v>
      </c>
      <c r="H148" s="97">
        <v>5575</v>
      </c>
      <c r="I148" s="98"/>
      <c r="J148" s="10">
        <f t="shared" si="12"/>
        <v>44.225000000000001</v>
      </c>
      <c r="K148" s="11">
        <v>5</v>
      </c>
      <c r="L148" s="12">
        <f t="shared" si="13"/>
        <v>8.8450000000000006</v>
      </c>
      <c r="M148" s="13">
        <f t="shared" si="14"/>
        <v>8845</v>
      </c>
      <c r="N148" s="16" t="s">
        <v>1466</v>
      </c>
    </row>
    <row r="149" spans="1:16" s="5" customFormat="1" ht="12">
      <c r="A149" s="40" t="s">
        <v>388</v>
      </c>
      <c r="B149" s="40" t="s">
        <v>388</v>
      </c>
      <c r="C149" s="97">
        <v>1074</v>
      </c>
      <c r="D149" s="97">
        <v>1075</v>
      </c>
      <c r="E149" s="97">
        <v>821</v>
      </c>
      <c r="F149" s="97">
        <v>312</v>
      </c>
      <c r="G149" s="97">
        <v>963</v>
      </c>
      <c r="H149" s="97">
        <v>548</v>
      </c>
      <c r="I149" s="98"/>
      <c r="J149" s="10">
        <f t="shared" si="12"/>
        <v>6.4440000000000008</v>
      </c>
      <c r="K149" s="11">
        <v>6</v>
      </c>
      <c r="L149" s="12">
        <f t="shared" si="13"/>
        <v>1.0740000000000001</v>
      </c>
      <c r="M149" s="13">
        <f t="shared" si="14"/>
        <v>1074</v>
      </c>
      <c r="N149" s="16" t="s">
        <v>389</v>
      </c>
    </row>
    <row r="150" spans="1:16" s="5" customFormat="1" ht="12">
      <c r="A150" s="40" t="s">
        <v>59</v>
      </c>
      <c r="B150" s="40" t="s">
        <v>60</v>
      </c>
      <c r="C150" s="97">
        <v>318</v>
      </c>
      <c r="D150" s="97">
        <v>302</v>
      </c>
      <c r="E150" s="97">
        <v>228</v>
      </c>
      <c r="F150" s="97">
        <v>47</v>
      </c>
      <c r="G150" s="97">
        <v>295</v>
      </c>
      <c r="H150" s="97">
        <v>139</v>
      </c>
      <c r="I150" s="98"/>
      <c r="J150" s="10">
        <f t="shared" si="12"/>
        <v>1.9079999999999999</v>
      </c>
      <c r="K150" s="11">
        <v>6</v>
      </c>
      <c r="L150" s="12">
        <f t="shared" si="13"/>
        <v>0.318</v>
      </c>
      <c r="M150" s="13">
        <f t="shared" si="14"/>
        <v>318</v>
      </c>
      <c r="N150" s="14" t="s">
        <v>61</v>
      </c>
    </row>
    <row r="151" spans="1:16" s="5" customFormat="1" ht="12">
      <c r="A151" s="40" t="s">
        <v>59</v>
      </c>
      <c r="B151" s="40" t="s">
        <v>226</v>
      </c>
      <c r="C151" s="97">
        <v>2498</v>
      </c>
      <c r="D151" s="97">
        <v>2457</v>
      </c>
      <c r="E151" s="97">
        <v>2124</v>
      </c>
      <c r="F151" s="97">
        <v>627</v>
      </c>
      <c r="G151" s="97">
        <v>2404</v>
      </c>
      <c r="H151" s="97">
        <v>1400</v>
      </c>
      <c r="I151" s="98"/>
      <c r="J151" s="10">
        <f t="shared" si="12"/>
        <v>14.988000000000001</v>
      </c>
      <c r="K151" s="11">
        <v>6</v>
      </c>
      <c r="L151" s="12">
        <f t="shared" si="13"/>
        <v>2.4980000000000002</v>
      </c>
      <c r="M151" s="13">
        <f t="shared" si="14"/>
        <v>2498</v>
      </c>
      <c r="N151" s="16" t="s">
        <v>227</v>
      </c>
    </row>
    <row r="152" spans="1:16" s="5" customFormat="1" ht="12">
      <c r="A152" s="40" t="s">
        <v>59</v>
      </c>
      <c r="B152" s="40" t="s">
        <v>59</v>
      </c>
      <c r="C152" s="97">
        <v>8471</v>
      </c>
      <c r="D152" s="97">
        <v>8298</v>
      </c>
      <c r="E152" s="97">
        <v>7235</v>
      </c>
      <c r="F152" s="97">
        <v>2276</v>
      </c>
      <c r="G152" s="97">
        <v>8297</v>
      </c>
      <c r="H152" s="97">
        <v>5074</v>
      </c>
      <c r="I152" s="98"/>
      <c r="J152" s="10">
        <f t="shared" si="12"/>
        <v>50.826000000000001</v>
      </c>
      <c r="K152" s="11">
        <v>6</v>
      </c>
      <c r="L152" s="12">
        <f t="shared" si="13"/>
        <v>8.4710000000000001</v>
      </c>
      <c r="M152" s="13">
        <f t="shared" si="14"/>
        <v>8471</v>
      </c>
      <c r="N152" s="16" t="s">
        <v>399</v>
      </c>
    </row>
    <row r="153" spans="1:16" s="5" customFormat="1" ht="12">
      <c r="A153" s="40" t="s">
        <v>59</v>
      </c>
      <c r="B153" s="40" t="s">
        <v>827</v>
      </c>
      <c r="C153" s="97">
        <v>2554</v>
      </c>
      <c r="D153" s="97">
        <v>2508</v>
      </c>
      <c r="E153" s="97">
        <v>2173</v>
      </c>
      <c r="F153" s="97">
        <v>755</v>
      </c>
      <c r="G153" s="97">
        <v>2484</v>
      </c>
      <c r="H153" s="97">
        <v>1540</v>
      </c>
      <c r="I153" s="98"/>
      <c r="J153" s="10">
        <f t="shared" si="12"/>
        <v>15.323999999999998</v>
      </c>
      <c r="K153" s="11">
        <v>6</v>
      </c>
      <c r="L153" s="12">
        <f t="shared" si="13"/>
        <v>2.5539999999999998</v>
      </c>
      <c r="M153" s="13">
        <f t="shared" si="14"/>
        <v>2554</v>
      </c>
      <c r="N153" s="16" t="s">
        <v>828</v>
      </c>
    </row>
    <row r="154" spans="1:16" s="5" customFormat="1" ht="12">
      <c r="A154" s="40" t="s">
        <v>59</v>
      </c>
      <c r="B154" s="40" t="s">
        <v>1080</v>
      </c>
      <c r="C154" s="97">
        <v>698</v>
      </c>
      <c r="D154" s="97">
        <v>684</v>
      </c>
      <c r="E154" s="97">
        <v>534</v>
      </c>
      <c r="F154" s="97">
        <v>139</v>
      </c>
      <c r="G154" s="97">
        <v>667</v>
      </c>
      <c r="H154" s="97">
        <v>342</v>
      </c>
      <c r="I154" s="98"/>
      <c r="J154" s="10">
        <f t="shared" si="12"/>
        <v>4.1879999999999997</v>
      </c>
      <c r="K154" s="11">
        <v>6</v>
      </c>
      <c r="L154" s="12">
        <f t="shared" si="13"/>
        <v>0.69799999999999995</v>
      </c>
      <c r="M154" s="13">
        <f t="shared" si="14"/>
        <v>698</v>
      </c>
      <c r="N154" s="16" t="s">
        <v>1081</v>
      </c>
    </row>
    <row r="155" spans="1:16" s="5" customFormat="1" ht="12">
      <c r="A155" s="40" t="s">
        <v>59</v>
      </c>
      <c r="B155" s="40" t="s">
        <v>1329</v>
      </c>
      <c r="C155" s="97">
        <v>4403</v>
      </c>
      <c r="D155" s="97">
        <v>4331</v>
      </c>
      <c r="E155" s="97">
        <v>3700</v>
      </c>
      <c r="F155" s="97">
        <v>1112</v>
      </c>
      <c r="G155" s="97">
        <v>4331</v>
      </c>
      <c r="H155" s="97">
        <v>2641</v>
      </c>
      <c r="I155" s="98"/>
      <c r="J155" s="10">
        <f t="shared" si="12"/>
        <v>26.417999999999999</v>
      </c>
      <c r="K155" s="11">
        <v>6</v>
      </c>
      <c r="L155" s="12">
        <f t="shared" si="13"/>
        <v>4.4029999999999996</v>
      </c>
      <c r="M155" s="13">
        <f t="shared" si="14"/>
        <v>4403</v>
      </c>
      <c r="N155" s="16" t="s">
        <v>1330</v>
      </c>
    </row>
    <row r="156" spans="1:16" s="5" customFormat="1" ht="12">
      <c r="A156" s="40" t="s">
        <v>59</v>
      </c>
      <c r="B156" s="40" t="s">
        <v>1889</v>
      </c>
      <c r="C156" s="97">
        <v>1480</v>
      </c>
      <c r="D156" s="97">
        <v>1455</v>
      </c>
      <c r="E156" s="97">
        <v>1231</v>
      </c>
      <c r="F156" s="97">
        <v>394</v>
      </c>
      <c r="G156" s="97">
        <v>1443</v>
      </c>
      <c r="H156" s="97">
        <v>822</v>
      </c>
      <c r="I156" s="98"/>
      <c r="J156" s="10">
        <f t="shared" si="12"/>
        <v>8.879999999999999</v>
      </c>
      <c r="K156" s="11">
        <v>6</v>
      </c>
      <c r="L156" s="12">
        <f t="shared" si="13"/>
        <v>1.48</v>
      </c>
      <c r="M156" s="13">
        <f t="shared" si="14"/>
        <v>1480</v>
      </c>
      <c r="N156" s="16" t="s">
        <v>1890</v>
      </c>
    </row>
    <row r="157" spans="1:16" s="5" customFormat="1" ht="12">
      <c r="A157" s="40" t="s">
        <v>59</v>
      </c>
      <c r="B157" s="40" t="s">
        <v>1912</v>
      </c>
      <c r="C157" s="97">
        <v>1565</v>
      </c>
      <c r="D157" s="97">
        <v>1518</v>
      </c>
      <c r="E157" s="97">
        <v>1305</v>
      </c>
      <c r="F157" s="97">
        <v>383</v>
      </c>
      <c r="G157" s="97">
        <v>1538</v>
      </c>
      <c r="H157" s="97">
        <v>871</v>
      </c>
      <c r="I157" s="98"/>
      <c r="J157" s="10">
        <f t="shared" si="12"/>
        <v>9.39</v>
      </c>
      <c r="K157" s="11">
        <v>6</v>
      </c>
      <c r="L157" s="12">
        <f t="shared" si="13"/>
        <v>1.5649999999999999</v>
      </c>
      <c r="M157" s="13">
        <f t="shared" si="14"/>
        <v>1565</v>
      </c>
      <c r="N157" s="16" t="s">
        <v>1913</v>
      </c>
    </row>
    <row r="158" spans="1:16" s="5" customFormat="1" ht="12">
      <c r="A158" s="40" t="s">
        <v>43</v>
      </c>
      <c r="B158" s="40" t="s">
        <v>44</v>
      </c>
      <c r="C158" s="97">
        <v>743</v>
      </c>
      <c r="D158" s="97">
        <v>720</v>
      </c>
      <c r="E158" s="97">
        <v>602</v>
      </c>
      <c r="F158" s="97">
        <v>193</v>
      </c>
      <c r="G158" s="97">
        <v>726</v>
      </c>
      <c r="H158" s="97">
        <v>442</v>
      </c>
      <c r="I158" s="98"/>
      <c r="J158" s="10">
        <f t="shared" si="12"/>
        <v>4.4580000000000002</v>
      </c>
      <c r="K158" s="11">
        <v>6</v>
      </c>
      <c r="L158" s="12">
        <f t="shared" si="13"/>
        <v>0.74299999999999999</v>
      </c>
      <c r="M158" s="13">
        <f t="shared" si="14"/>
        <v>743</v>
      </c>
      <c r="N158" s="14" t="s">
        <v>45</v>
      </c>
    </row>
    <row r="159" spans="1:16" s="5" customFormat="1" ht="12">
      <c r="A159" s="64" t="s">
        <v>43</v>
      </c>
      <c r="B159" s="64" t="s">
        <v>188</v>
      </c>
      <c r="C159" s="19">
        <v>514</v>
      </c>
      <c r="D159" s="19">
        <v>504</v>
      </c>
      <c r="E159" s="19">
        <v>392</v>
      </c>
      <c r="F159" s="19">
        <v>154</v>
      </c>
      <c r="G159" s="19">
        <v>507</v>
      </c>
      <c r="H159" s="19">
        <v>342</v>
      </c>
      <c r="I159" s="101"/>
      <c r="J159" s="17">
        <v>3.0840000000000001</v>
      </c>
      <c r="K159" s="17">
        <v>6</v>
      </c>
      <c r="L159" s="18">
        <v>0.51400000000000001</v>
      </c>
      <c r="M159" s="19">
        <v>514</v>
      </c>
      <c r="N159" s="22" t="s">
        <v>189</v>
      </c>
      <c r="O159" s="9"/>
      <c r="P159" s="9"/>
    </row>
    <row r="160" spans="1:16" s="5" customFormat="1" ht="12">
      <c r="A160" s="40" t="s">
        <v>43</v>
      </c>
      <c r="B160" s="40" t="s">
        <v>317</v>
      </c>
      <c r="C160" s="97">
        <v>1038</v>
      </c>
      <c r="D160" s="97">
        <v>1014</v>
      </c>
      <c r="E160" s="97">
        <v>885</v>
      </c>
      <c r="F160" s="97">
        <v>281</v>
      </c>
      <c r="G160" s="97">
        <v>1023</v>
      </c>
      <c r="H160" s="97">
        <v>601</v>
      </c>
      <c r="I160" s="98"/>
      <c r="J160" s="10">
        <f>+K160*L160</f>
        <v>6.2279999999999998</v>
      </c>
      <c r="K160" s="11">
        <v>6</v>
      </c>
      <c r="L160" s="12">
        <f>+M160/1000</f>
        <v>1.038</v>
      </c>
      <c r="M160" s="13">
        <f>+C160</f>
        <v>1038</v>
      </c>
      <c r="N160" s="16" t="s">
        <v>318</v>
      </c>
    </row>
    <row r="161" spans="1:16" s="5" customFormat="1" ht="12">
      <c r="A161" s="64" t="s">
        <v>43</v>
      </c>
      <c r="B161" s="64" t="s">
        <v>319</v>
      </c>
      <c r="C161" s="19">
        <v>564</v>
      </c>
      <c r="D161" s="19">
        <v>542</v>
      </c>
      <c r="E161" s="19">
        <v>458</v>
      </c>
      <c r="F161" s="19">
        <v>161</v>
      </c>
      <c r="G161" s="19">
        <v>549</v>
      </c>
      <c r="H161" s="19">
        <v>340</v>
      </c>
      <c r="I161" s="101"/>
      <c r="J161" s="17">
        <v>3.3839999999999999</v>
      </c>
      <c r="K161" s="17">
        <v>6</v>
      </c>
      <c r="L161" s="18">
        <v>0.56399999999999995</v>
      </c>
      <c r="M161" s="19">
        <v>564</v>
      </c>
      <c r="N161" s="22" t="s">
        <v>320</v>
      </c>
      <c r="O161" s="9"/>
      <c r="P161" s="9"/>
    </row>
    <row r="162" spans="1:16" s="5" customFormat="1" ht="12">
      <c r="A162" s="64" t="s">
        <v>43</v>
      </c>
      <c r="B162" s="64" t="s">
        <v>326</v>
      </c>
      <c r="C162" s="19">
        <v>710</v>
      </c>
      <c r="D162" s="19">
        <v>689</v>
      </c>
      <c r="E162" s="19">
        <v>554</v>
      </c>
      <c r="F162" s="19">
        <v>163</v>
      </c>
      <c r="G162" s="19">
        <v>684</v>
      </c>
      <c r="H162" s="19">
        <v>406</v>
      </c>
      <c r="I162" s="101"/>
      <c r="J162" s="17">
        <v>4.26</v>
      </c>
      <c r="K162" s="17">
        <v>6</v>
      </c>
      <c r="L162" s="18">
        <v>0.71</v>
      </c>
      <c r="M162" s="19">
        <v>710</v>
      </c>
      <c r="N162" s="22" t="s">
        <v>327</v>
      </c>
      <c r="O162" s="9"/>
      <c r="P162" s="9"/>
    </row>
    <row r="163" spans="1:16" s="5" customFormat="1" ht="12">
      <c r="A163" s="40" t="s">
        <v>43</v>
      </c>
      <c r="B163" s="40" t="s">
        <v>400</v>
      </c>
      <c r="C163" s="97">
        <v>6718</v>
      </c>
      <c r="D163" s="97">
        <v>6637</v>
      </c>
      <c r="E163" s="97">
        <v>5904</v>
      </c>
      <c r="F163" s="97">
        <v>1839</v>
      </c>
      <c r="G163" s="97">
        <v>6613</v>
      </c>
      <c r="H163" s="97">
        <v>4302</v>
      </c>
      <c r="I163" s="98"/>
      <c r="J163" s="10">
        <f>+K163*L163</f>
        <v>40.308</v>
      </c>
      <c r="K163" s="11">
        <v>6</v>
      </c>
      <c r="L163" s="12">
        <f>+M163/1000</f>
        <v>6.718</v>
      </c>
      <c r="M163" s="13">
        <f>+C163</f>
        <v>6718</v>
      </c>
      <c r="N163" s="16" t="s">
        <v>401</v>
      </c>
    </row>
    <row r="164" spans="1:16" s="5" customFormat="1" ht="12">
      <c r="A164" s="40" t="s">
        <v>43</v>
      </c>
      <c r="B164" s="40" t="s">
        <v>430</v>
      </c>
      <c r="C164" s="97">
        <v>2167</v>
      </c>
      <c r="D164" s="97">
        <v>2135</v>
      </c>
      <c r="E164" s="97">
        <v>1839</v>
      </c>
      <c r="F164" s="97">
        <v>668</v>
      </c>
      <c r="G164" s="97">
        <v>2110</v>
      </c>
      <c r="H164" s="97">
        <v>1416</v>
      </c>
      <c r="I164" s="98"/>
      <c r="J164" s="10">
        <f>+K164*L164</f>
        <v>13.001999999999999</v>
      </c>
      <c r="K164" s="11">
        <v>6</v>
      </c>
      <c r="L164" s="12">
        <f>+M164/1000</f>
        <v>2.1669999999999998</v>
      </c>
      <c r="M164" s="13">
        <f>+C164</f>
        <v>2167</v>
      </c>
      <c r="N164" s="16" t="s">
        <v>431</v>
      </c>
    </row>
    <row r="165" spans="1:16" s="5" customFormat="1" ht="12">
      <c r="A165" s="40" t="s">
        <v>43</v>
      </c>
      <c r="B165" s="40" t="s">
        <v>43</v>
      </c>
      <c r="C165" s="97">
        <v>79136</v>
      </c>
      <c r="D165" s="97">
        <v>78788</v>
      </c>
      <c r="E165" s="97">
        <v>69558</v>
      </c>
      <c r="F165" s="97">
        <v>25806</v>
      </c>
      <c r="G165" s="97">
        <v>78356</v>
      </c>
      <c r="H165" s="97">
        <v>56797</v>
      </c>
      <c r="I165" s="98"/>
      <c r="J165" s="10">
        <f>+K165*L165</f>
        <v>158.27199999999999</v>
      </c>
      <c r="K165" s="11">
        <v>2</v>
      </c>
      <c r="L165" s="12">
        <f>+M165/1000</f>
        <v>79.135999999999996</v>
      </c>
      <c r="M165" s="13">
        <f>+C165</f>
        <v>79136</v>
      </c>
      <c r="N165" s="16" t="s">
        <v>432</v>
      </c>
    </row>
    <row r="166" spans="1:16" s="5" customFormat="1" ht="12">
      <c r="A166" s="64" t="s">
        <v>43</v>
      </c>
      <c r="B166" s="64" t="s">
        <v>446</v>
      </c>
      <c r="C166" s="19">
        <v>690</v>
      </c>
      <c r="D166" s="19">
        <v>679</v>
      </c>
      <c r="E166" s="19">
        <v>569</v>
      </c>
      <c r="F166" s="19">
        <v>166</v>
      </c>
      <c r="G166" s="19">
        <v>665</v>
      </c>
      <c r="H166" s="19">
        <v>385</v>
      </c>
      <c r="I166" s="101"/>
      <c r="J166" s="17">
        <v>4.1399999999999997</v>
      </c>
      <c r="K166" s="17">
        <v>6</v>
      </c>
      <c r="L166" s="18">
        <v>0.69</v>
      </c>
      <c r="M166" s="19">
        <v>690</v>
      </c>
      <c r="N166" s="22" t="s">
        <v>447</v>
      </c>
      <c r="O166" s="9"/>
      <c r="P166" s="9"/>
    </row>
    <row r="167" spans="1:16" s="5" customFormat="1" ht="12">
      <c r="A167" s="40" t="s">
        <v>43</v>
      </c>
      <c r="B167" s="40" t="s">
        <v>500</v>
      </c>
      <c r="C167" s="97">
        <v>1160</v>
      </c>
      <c r="D167" s="97">
        <v>1136</v>
      </c>
      <c r="E167" s="97">
        <v>947</v>
      </c>
      <c r="F167" s="97">
        <v>311</v>
      </c>
      <c r="G167" s="97">
        <v>1117</v>
      </c>
      <c r="H167" s="97">
        <v>657</v>
      </c>
      <c r="I167" s="98"/>
      <c r="J167" s="10">
        <f>+K167*L167</f>
        <v>6.9599999999999991</v>
      </c>
      <c r="K167" s="11">
        <v>6</v>
      </c>
      <c r="L167" s="12">
        <f>+M167/1000</f>
        <v>1.1599999999999999</v>
      </c>
      <c r="M167" s="13">
        <f>+C167</f>
        <v>1160</v>
      </c>
      <c r="N167" s="16" t="s">
        <v>501</v>
      </c>
    </row>
    <row r="168" spans="1:16" s="5" customFormat="1" ht="12">
      <c r="A168" s="64" t="s">
        <v>43</v>
      </c>
      <c r="B168" s="64" t="s">
        <v>573</v>
      </c>
      <c r="C168" s="19">
        <v>618</v>
      </c>
      <c r="D168" s="19">
        <v>599</v>
      </c>
      <c r="E168" s="19">
        <v>516</v>
      </c>
      <c r="F168" s="19">
        <v>185</v>
      </c>
      <c r="G168" s="19">
        <v>606</v>
      </c>
      <c r="H168" s="19">
        <v>433</v>
      </c>
      <c r="I168" s="101"/>
      <c r="J168" s="17">
        <v>3.7080000000000002</v>
      </c>
      <c r="K168" s="17">
        <v>6</v>
      </c>
      <c r="L168" s="18">
        <v>0.61799999999999999</v>
      </c>
      <c r="M168" s="19">
        <v>618</v>
      </c>
      <c r="N168" s="22" t="s">
        <v>574</v>
      </c>
      <c r="O168" s="9"/>
      <c r="P168" s="9"/>
    </row>
    <row r="169" spans="1:16" s="5" customFormat="1" ht="12">
      <c r="A169" s="40" t="s">
        <v>43</v>
      </c>
      <c r="B169" s="40" t="s">
        <v>607</v>
      </c>
      <c r="C169" s="97">
        <v>1198</v>
      </c>
      <c r="D169" s="97">
        <v>1167</v>
      </c>
      <c r="E169" s="97">
        <v>981</v>
      </c>
      <c r="F169" s="97">
        <v>326</v>
      </c>
      <c r="G169" s="97">
        <v>1168</v>
      </c>
      <c r="H169" s="97">
        <v>750</v>
      </c>
      <c r="I169" s="98"/>
      <c r="J169" s="10">
        <f>+K169*L169</f>
        <v>7.1879999999999997</v>
      </c>
      <c r="K169" s="11">
        <v>6</v>
      </c>
      <c r="L169" s="12">
        <f>+M169/1000</f>
        <v>1.198</v>
      </c>
      <c r="M169" s="13">
        <f>+C169</f>
        <v>1198</v>
      </c>
      <c r="N169" s="16" t="s">
        <v>608</v>
      </c>
    </row>
    <row r="170" spans="1:16" s="5" customFormat="1" ht="12">
      <c r="A170" s="40" t="s">
        <v>43</v>
      </c>
      <c r="B170" s="40" t="s">
        <v>609</v>
      </c>
      <c r="C170" s="97">
        <v>1510</v>
      </c>
      <c r="D170" s="97">
        <v>1466</v>
      </c>
      <c r="E170" s="97">
        <v>1226</v>
      </c>
      <c r="F170" s="97">
        <v>362</v>
      </c>
      <c r="G170" s="97">
        <v>1494</v>
      </c>
      <c r="H170" s="97">
        <v>897</v>
      </c>
      <c r="I170" s="98"/>
      <c r="J170" s="10">
        <f>+K170*L170</f>
        <v>9.06</v>
      </c>
      <c r="K170" s="11">
        <v>6</v>
      </c>
      <c r="L170" s="12">
        <f>+M170/1000</f>
        <v>1.51</v>
      </c>
      <c r="M170" s="13">
        <f>+C170</f>
        <v>1510</v>
      </c>
      <c r="N170" s="16" t="s">
        <v>610</v>
      </c>
    </row>
    <row r="171" spans="1:16" s="5" customFormat="1" ht="12">
      <c r="A171" s="64" t="s">
        <v>43</v>
      </c>
      <c r="B171" s="64" t="s">
        <v>640</v>
      </c>
      <c r="C171" s="19">
        <v>929</v>
      </c>
      <c r="D171" s="19">
        <v>913</v>
      </c>
      <c r="E171" s="19">
        <v>766</v>
      </c>
      <c r="F171" s="19">
        <v>245</v>
      </c>
      <c r="G171" s="19">
        <v>900</v>
      </c>
      <c r="H171" s="19">
        <v>543</v>
      </c>
      <c r="I171" s="101"/>
      <c r="J171" s="17">
        <v>5.5739999999999998</v>
      </c>
      <c r="K171" s="17">
        <v>6</v>
      </c>
      <c r="L171" s="18">
        <v>0.92900000000000005</v>
      </c>
      <c r="M171" s="19">
        <v>929</v>
      </c>
      <c r="N171" s="22" t="s">
        <v>641</v>
      </c>
      <c r="O171" s="9"/>
      <c r="P171" s="9"/>
    </row>
    <row r="172" spans="1:16" s="5" customFormat="1" ht="12">
      <c r="A172" s="40" t="s">
        <v>43</v>
      </c>
      <c r="B172" s="40" t="s">
        <v>642</v>
      </c>
      <c r="C172" s="97">
        <v>1243</v>
      </c>
      <c r="D172" s="97">
        <v>1222</v>
      </c>
      <c r="E172" s="97">
        <v>1022</v>
      </c>
      <c r="F172" s="97">
        <v>336</v>
      </c>
      <c r="G172" s="97">
        <v>1211</v>
      </c>
      <c r="H172" s="97">
        <v>767</v>
      </c>
      <c r="I172" s="98"/>
      <c r="J172" s="10">
        <f>+K172*L172</f>
        <v>7.4580000000000002</v>
      </c>
      <c r="K172" s="11">
        <v>6</v>
      </c>
      <c r="L172" s="12">
        <f>+M172/1000</f>
        <v>1.2430000000000001</v>
      </c>
      <c r="M172" s="13">
        <f>+C172</f>
        <v>1243</v>
      </c>
      <c r="N172" s="16" t="s">
        <v>643</v>
      </c>
    </row>
    <row r="173" spans="1:16" s="5" customFormat="1" ht="12">
      <c r="A173" s="64" t="s">
        <v>43</v>
      </c>
      <c r="B173" s="64" t="s">
        <v>645</v>
      </c>
      <c r="C173" s="19">
        <v>532</v>
      </c>
      <c r="D173" s="19">
        <v>516</v>
      </c>
      <c r="E173" s="19">
        <v>419</v>
      </c>
      <c r="F173" s="19">
        <v>128</v>
      </c>
      <c r="G173" s="19">
        <v>517</v>
      </c>
      <c r="H173" s="19">
        <v>310</v>
      </c>
      <c r="I173" s="101"/>
      <c r="J173" s="17">
        <v>3.1920000000000002</v>
      </c>
      <c r="K173" s="17">
        <v>6</v>
      </c>
      <c r="L173" s="18">
        <v>0.53200000000000003</v>
      </c>
      <c r="M173" s="19">
        <v>532</v>
      </c>
      <c r="N173" s="22" t="s">
        <v>646</v>
      </c>
      <c r="O173" s="9"/>
      <c r="P173" s="9"/>
    </row>
    <row r="174" spans="1:16" s="5" customFormat="1" ht="12">
      <c r="A174" s="64" t="s">
        <v>43</v>
      </c>
      <c r="B174" s="64" t="s">
        <v>650</v>
      </c>
      <c r="C174" s="19">
        <v>736</v>
      </c>
      <c r="D174" s="19">
        <v>715</v>
      </c>
      <c r="E174" s="19">
        <v>604</v>
      </c>
      <c r="F174" s="19">
        <v>193</v>
      </c>
      <c r="G174" s="19">
        <v>724</v>
      </c>
      <c r="H174" s="19">
        <v>418</v>
      </c>
      <c r="I174" s="101"/>
      <c r="J174" s="17">
        <v>4.4160000000000004</v>
      </c>
      <c r="K174" s="17">
        <v>6</v>
      </c>
      <c r="L174" s="18">
        <v>0.73599999999999999</v>
      </c>
      <c r="M174" s="19">
        <v>736</v>
      </c>
      <c r="N174" s="22" t="s">
        <v>651</v>
      </c>
      <c r="O174" s="9"/>
      <c r="P174" s="9"/>
    </row>
    <row r="175" spans="1:16" s="5" customFormat="1" ht="12">
      <c r="A175" s="40" t="s">
        <v>43</v>
      </c>
      <c r="B175" s="40" t="s">
        <v>680</v>
      </c>
      <c r="C175" s="97">
        <v>1201</v>
      </c>
      <c r="D175" s="97">
        <v>1169</v>
      </c>
      <c r="E175" s="97">
        <v>1027</v>
      </c>
      <c r="F175" s="97">
        <v>330</v>
      </c>
      <c r="G175" s="97">
        <v>1164</v>
      </c>
      <c r="H175" s="97">
        <v>789</v>
      </c>
      <c r="I175" s="98"/>
      <c r="J175" s="10">
        <f>+K175*L175</f>
        <v>7.2060000000000004</v>
      </c>
      <c r="K175" s="11">
        <v>6</v>
      </c>
      <c r="L175" s="12">
        <f>+M175/1000</f>
        <v>1.2010000000000001</v>
      </c>
      <c r="M175" s="13">
        <f>+C175</f>
        <v>1201</v>
      </c>
      <c r="N175" s="16" t="s">
        <v>681</v>
      </c>
    </row>
    <row r="176" spans="1:16" s="5" customFormat="1" ht="12">
      <c r="A176" s="64" t="s">
        <v>43</v>
      </c>
      <c r="B176" s="64" t="s">
        <v>702</v>
      </c>
      <c r="C176" s="19">
        <v>723</v>
      </c>
      <c r="D176" s="19">
        <v>705</v>
      </c>
      <c r="E176" s="19">
        <v>595</v>
      </c>
      <c r="F176" s="19">
        <v>235</v>
      </c>
      <c r="G176" s="19">
        <v>700</v>
      </c>
      <c r="H176" s="19">
        <v>453</v>
      </c>
      <c r="I176" s="101"/>
      <c r="J176" s="17">
        <v>4.3380000000000001</v>
      </c>
      <c r="K176" s="17">
        <v>6</v>
      </c>
      <c r="L176" s="18">
        <v>0.72299999999999998</v>
      </c>
      <c r="M176" s="19">
        <v>723</v>
      </c>
      <c r="N176" s="22" t="s">
        <v>703</v>
      </c>
      <c r="O176" s="9"/>
      <c r="P176" s="9"/>
    </row>
    <row r="177" spans="1:16" s="5" customFormat="1" ht="12">
      <c r="A177" s="64" t="s">
        <v>43</v>
      </c>
      <c r="B177" s="64" t="s">
        <v>704</v>
      </c>
      <c r="C177" s="19">
        <v>509</v>
      </c>
      <c r="D177" s="19">
        <v>495</v>
      </c>
      <c r="E177" s="19">
        <v>395</v>
      </c>
      <c r="F177" s="19">
        <v>134</v>
      </c>
      <c r="G177" s="19">
        <v>498</v>
      </c>
      <c r="H177" s="19">
        <v>292</v>
      </c>
      <c r="I177" s="101"/>
      <c r="J177" s="17">
        <v>3.0539999999999998</v>
      </c>
      <c r="K177" s="17">
        <v>6</v>
      </c>
      <c r="L177" s="18">
        <v>0.50900000000000001</v>
      </c>
      <c r="M177" s="19">
        <v>509</v>
      </c>
      <c r="N177" s="22" t="s">
        <v>705</v>
      </c>
      <c r="O177" s="9"/>
      <c r="P177" s="9"/>
    </row>
    <row r="178" spans="1:16" s="5" customFormat="1" ht="12">
      <c r="A178" s="64" t="s">
        <v>43</v>
      </c>
      <c r="B178" s="64" t="s">
        <v>728</v>
      </c>
      <c r="C178" s="19">
        <v>500</v>
      </c>
      <c r="D178" s="19">
        <v>482</v>
      </c>
      <c r="E178" s="19">
        <v>399</v>
      </c>
      <c r="F178" s="19">
        <v>115</v>
      </c>
      <c r="G178" s="19">
        <v>485</v>
      </c>
      <c r="H178" s="19">
        <v>276</v>
      </c>
      <c r="I178" s="101"/>
      <c r="J178" s="17">
        <v>3</v>
      </c>
      <c r="K178" s="17">
        <v>6</v>
      </c>
      <c r="L178" s="18">
        <v>0.5</v>
      </c>
      <c r="M178" s="19">
        <v>500</v>
      </c>
      <c r="N178" s="22" t="s">
        <v>729</v>
      </c>
      <c r="O178" s="9"/>
      <c r="P178" s="9"/>
    </row>
    <row r="179" spans="1:16" s="5" customFormat="1" ht="12">
      <c r="A179" s="40" t="s">
        <v>43</v>
      </c>
      <c r="B179" s="40" t="s">
        <v>733</v>
      </c>
      <c r="C179" s="97">
        <v>2272</v>
      </c>
      <c r="D179" s="97">
        <v>2232</v>
      </c>
      <c r="E179" s="97">
        <v>1985</v>
      </c>
      <c r="F179" s="97">
        <v>588</v>
      </c>
      <c r="G179" s="97">
        <v>2241</v>
      </c>
      <c r="H179" s="97">
        <v>1415</v>
      </c>
      <c r="I179" s="98"/>
      <c r="J179" s="10">
        <f>+K179*L179</f>
        <v>13.631999999999998</v>
      </c>
      <c r="K179" s="11">
        <v>6</v>
      </c>
      <c r="L179" s="12">
        <f>+M179/1000</f>
        <v>2.2719999999999998</v>
      </c>
      <c r="M179" s="13">
        <f>+C179</f>
        <v>2272</v>
      </c>
      <c r="N179" s="16" t="s">
        <v>734</v>
      </c>
    </row>
    <row r="180" spans="1:16" s="5" customFormat="1" ht="12">
      <c r="A180" s="64" t="s">
        <v>43</v>
      </c>
      <c r="B180" s="64" t="s">
        <v>768</v>
      </c>
      <c r="C180" s="19">
        <v>804</v>
      </c>
      <c r="D180" s="19">
        <v>792</v>
      </c>
      <c r="E180" s="19">
        <v>663</v>
      </c>
      <c r="F180" s="19">
        <v>217</v>
      </c>
      <c r="G180" s="19">
        <v>787</v>
      </c>
      <c r="H180" s="19">
        <v>495</v>
      </c>
      <c r="I180" s="101"/>
      <c r="J180" s="17">
        <v>4.8239999999999998</v>
      </c>
      <c r="K180" s="17">
        <v>6</v>
      </c>
      <c r="L180" s="18">
        <v>0.80400000000000005</v>
      </c>
      <c r="M180" s="19">
        <v>804</v>
      </c>
      <c r="N180" s="22" t="s">
        <v>769</v>
      </c>
      <c r="O180" s="9"/>
      <c r="P180" s="9"/>
    </row>
    <row r="181" spans="1:16" s="5" customFormat="1" ht="12">
      <c r="A181" s="40" t="s">
        <v>43</v>
      </c>
      <c r="B181" s="40" t="s">
        <v>789</v>
      </c>
      <c r="C181" s="97">
        <v>3606</v>
      </c>
      <c r="D181" s="97">
        <v>3564</v>
      </c>
      <c r="E181" s="97">
        <v>3130</v>
      </c>
      <c r="F181" s="97">
        <v>1062</v>
      </c>
      <c r="G181" s="97">
        <v>3553</v>
      </c>
      <c r="H181" s="97">
        <v>2404</v>
      </c>
      <c r="I181" s="98"/>
      <c r="J181" s="10">
        <f>+K181*L181</f>
        <v>21.635999999999999</v>
      </c>
      <c r="K181" s="11">
        <v>6</v>
      </c>
      <c r="L181" s="12">
        <f>+M181/1000</f>
        <v>3.6059999999999999</v>
      </c>
      <c r="M181" s="13">
        <f>+C181</f>
        <v>3606</v>
      </c>
      <c r="N181" s="16" t="s">
        <v>790</v>
      </c>
    </row>
    <row r="182" spans="1:16" s="5" customFormat="1" ht="12">
      <c r="A182" s="40" t="s">
        <v>43</v>
      </c>
      <c r="B182" s="40" t="s">
        <v>795</v>
      </c>
      <c r="C182" s="97">
        <v>1101</v>
      </c>
      <c r="D182" s="97">
        <v>1076</v>
      </c>
      <c r="E182" s="97">
        <v>920</v>
      </c>
      <c r="F182" s="97">
        <v>327</v>
      </c>
      <c r="G182" s="97">
        <v>1070</v>
      </c>
      <c r="H182" s="97">
        <v>735</v>
      </c>
      <c r="I182" s="98"/>
      <c r="J182" s="10">
        <f>+K182*L182</f>
        <v>6.6059999999999999</v>
      </c>
      <c r="K182" s="11">
        <v>6</v>
      </c>
      <c r="L182" s="12">
        <f>+M182/1000</f>
        <v>1.101</v>
      </c>
      <c r="M182" s="13">
        <f>+C182</f>
        <v>1101</v>
      </c>
      <c r="N182" s="16" t="s">
        <v>796</v>
      </c>
    </row>
    <row r="183" spans="1:16" s="5" customFormat="1" ht="12">
      <c r="A183" s="64" t="s">
        <v>43</v>
      </c>
      <c r="B183" s="64" t="s">
        <v>811</v>
      </c>
      <c r="C183" s="19">
        <v>711</v>
      </c>
      <c r="D183" s="19">
        <v>689</v>
      </c>
      <c r="E183" s="19">
        <v>606</v>
      </c>
      <c r="F183" s="19">
        <v>176</v>
      </c>
      <c r="G183" s="19">
        <v>703</v>
      </c>
      <c r="H183" s="19">
        <v>433</v>
      </c>
      <c r="I183" s="101"/>
      <c r="J183" s="17">
        <v>4.266</v>
      </c>
      <c r="K183" s="17">
        <v>6</v>
      </c>
      <c r="L183" s="18">
        <v>0.71099999999999997</v>
      </c>
      <c r="M183" s="19">
        <v>711</v>
      </c>
      <c r="N183" s="22" t="s">
        <v>812</v>
      </c>
      <c r="O183" s="9"/>
      <c r="P183" s="9"/>
    </row>
    <row r="184" spans="1:16" s="5" customFormat="1" ht="12">
      <c r="A184" s="64" t="s">
        <v>43</v>
      </c>
      <c r="B184" s="64" t="s">
        <v>845</v>
      </c>
      <c r="C184" s="19">
        <v>2692</v>
      </c>
      <c r="D184" s="19">
        <v>2641</v>
      </c>
      <c r="E184" s="19">
        <v>2250</v>
      </c>
      <c r="F184" s="19">
        <v>702</v>
      </c>
      <c r="G184" s="19">
        <v>2649</v>
      </c>
      <c r="H184" s="19">
        <v>1648</v>
      </c>
      <c r="I184" s="101"/>
      <c r="J184" s="17">
        <v>16.152000000000001</v>
      </c>
      <c r="K184" s="17">
        <v>6</v>
      </c>
      <c r="L184" s="18">
        <v>2.6920000000000002</v>
      </c>
      <c r="M184" s="19">
        <v>2692</v>
      </c>
      <c r="N184" s="22" t="s">
        <v>846</v>
      </c>
      <c r="O184" s="9"/>
      <c r="P184" s="9"/>
    </row>
    <row r="185" spans="1:16" s="5" customFormat="1" ht="12">
      <c r="A185" s="64" t="s">
        <v>43</v>
      </c>
      <c r="B185" s="64" t="s">
        <v>860</v>
      </c>
      <c r="C185" s="19">
        <v>674</v>
      </c>
      <c r="D185" s="19">
        <v>654</v>
      </c>
      <c r="E185" s="19">
        <v>520</v>
      </c>
      <c r="F185" s="19">
        <v>123</v>
      </c>
      <c r="G185" s="19">
        <v>652</v>
      </c>
      <c r="H185" s="19">
        <v>332</v>
      </c>
      <c r="I185" s="101"/>
      <c r="J185" s="17">
        <v>4.0439999999999996</v>
      </c>
      <c r="K185" s="17">
        <v>6</v>
      </c>
      <c r="L185" s="18">
        <v>0.67400000000000004</v>
      </c>
      <c r="M185" s="19">
        <v>674</v>
      </c>
      <c r="N185" s="22" t="s">
        <v>861</v>
      </c>
      <c r="O185" s="9"/>
      <c r="P185" s="9"/>
    </row>
    <row r="186" spans="1:16" s="5" customFormat="1" ht="12">
      <c r="A186" s="64" t="s">
        <v>43</v>
      </c>
      <c r="B186" s="64" t="s">
        <v>891</v>
      </c>
      <c r="C186" s="19">
        <v>465</v>
      </c>
      <c r="D186" s="19">
        <v>457</v>
      </c>
      <c r="E186" s="19">
        <v>400</v>
      </c>
      <c r="F186" s="19">
        <v>133</v>
      </c>
      <c r="G186" s="19">
        <v>457</v>
      </c>
      <c r="H186" s="19">
        <v>292</v>
      </c>
      <c r="I186" s="101"/>
      <c r="J186" s="17">
        <v>2.79</v>
      </c>
      <c r="K186" s="17">
        <v>6</v>
      </c>
      <c r="L186" s="18">
        <v>0.46500000000000002</v>
      </c>
      <c r="M186" s="19">
        <v>465</v>
      </c>
      <c r="N186" s="22" t="s">
        <v>892</v>
      </c>
      <c r="O186" s="9"/>
      <c r="P186" s="9"/>
    </row>
    <row r="187" spans="1:16" s="5" customFormat="1" ht="12">
      <c r="A187" s="40" t="s">
        <v>43</v>
      </c>
      <c r="B187" s="40" t="s">
        <v>893</v>
      </c>
      <c r="C187" s="97">
        <v>1298</v>
      </c>
      <c r="D187" s="97">
        <v>1279</v>
      </c>
      <c r="E187" s="97">
        <v>1094</v>
      </c>
      <c r="F187" s="97">
        <v>356</v>
      </c>
      <c r="G187" s="97">
        <v>1269</v>
      </c>
      <c r="H187" s="97">
        <v>816</v>
      </c>
      <c r="I187" s="98"/>
      <c r="J187" s="10">
        <f>+K187*L187</f>
        <v>7.7880000000000003</v>
      </c>
      <c r="K187" s="11">
        <v>6</v>
      </c>
      <c r="L187" s="12">
        <f>+M187/1000</f>
        <v>1.298</v>
      </c>
      <c r="M187" s="13">
        <f>+C187</f>
        <v>1298</v>
      </c>
      <c r="N187" s="16" t="s">
        <v>894</v>
      </c>
    </row>
    <row r="188" spans="1:16" s="5" customFormat="1" ht="12">
      <c r="A188" s="40" t="s">
        <v>43</v>
      </c>
      <c r="B188" s="40" t="s">
        <v>898</v>
      </c>
      <c r="C188" s="97">
        <v>2843</v>
      </c>
      <c r="D188" s="97">
        <v>2815</v>
      </c>
      <c r="E188" s="97">
        <v>2445</v>
      </c>
      <c r="F188" s="97">
        <v>886</v>
      </c>
      <c r="G188" s="97">
        <v>2789</v>
      </c>
      <c r="H188" s="97">
        <v>1859</v>
      </c>
      <c r="I188" s="98"/>
      <c r="J188" s="10">
        <f>+K188*L188</f>
        <v>17.058</v>
      </c>
      <c r="K188" s="11">
        <v>6</v>
      </c>
      <c r="L188" s="12">
        <f>+M188/1000</f>
        <v>2.843</v>
      </c>
      <c r="M188" s="13">
        <f>+C188</f>
        <v>2843</v>
      </c>
      <c r="N188" s="16" t="s">
        <v>899</v>
      </c>
    </row>
    <row r="189" spans="1:16" s="5" customFormat="1" ht="12">
      <c r="A189" s="64" t="s">
        <v>43</v>
      </c>
      <c r="B189" s="64" t="s">
        <v>903</v>
      </c>
      <c r="C189" s="19">
        <v>800</v>
      </c>
      <c r="D189" s="19">
        <v>789</v>
      </c>
      <c r="E189" s="19">
        <v>655</v>
      </c>
      <c r="F189" s="19">
        <v>256</v>
      </c>
      <c r="G189" s="19">
        <v>772</v>
      </c>
      <c r="H189" s="19">
        <v>513</v>
      </c>
      <c r="I189" s="101"/>
      <c r="J189" s="17">
        <v>4.8</v>
      </c>
      <c r="K189" s="17">
        <v>6</v>
      </c>
      <c r="L189" s="18">
        <v>0.8</v>
      </c>
      <c r="M189" s="19">
        <v>800</v>
      </c>
      <c r="N189" s="22" t="s">
        <v>904</v>
      </c>
      <c r="O189" s="9"/>
      <c r="P189" s="9"/>
    </row>
    <row r="190" spans="1:16" s="5" customFormat="1" ht="12">
      <c r="A190" s="40" t="s">
        <v>43</v>
      </c>
      <c r="B190" s="40" t="s">
        <v>932</v>
      </c>
      <c r="C190" s="97">
        <v>2178</v>
      </c>
      <c r="D190" s="97">
        <v>2144</v>
      </c>
      <c r="E190" s="97">
        <v>1855</v>
      </c>
      <c r="F190" s="97">
        <v>644</v>
      </c>
      <c r="G190" s="97">
        <v>2153</v>
      </c>
      <c r="H190" s="97">
        <v>1423</v>
      </c>
      <c r="I190" s="98"/>
      <c r="J190" s="10">
        <f>+K190*L190</f>
        <v>13.068</v>
      </c>
      <c r="K190" s="11">
        <v>6</v>
      </c>
      <c r="L190" s="12">
        <f>+M190/1000</f>
        <v>2.1779999999999999</v>
      </c>
      <c r="M190" s="13">
        <f>+C190</f>
        <v>2178</v>
      </c>
      <c r="N190" s="16" t="s">
        <v>933</v>
      </c>
    </row>
    <row r="191" spans="1:16" s="5" customFormat="1" ht="12">
      <c r="A191" s="40" t="s">
        <v>43</v>
      </c>
      <c r="B191" s="40" t="s">
        <v>988</v>
      </c>
      <c r="C191" s="97">
        <v>2124</v>
      </c>
      <c r="D191" s="97">
        <v>2086</v>
      </c>
      <c r="E191" s="97">
        <v>1808</v>
      </c>
      <c r="F191" s="97">
        <v>556</v>
      </c>
      <c r="G191" s="97">
        <v>2095</v>
      </c>
      <c r="H191" s="97">
        <v>1324</v>
      </c>
      <c r="I191" s="98"/>
      <c r="J191" s="10">
        <f>+K191*L191</f>
        <v>12.744</v>
      </c>
      <c r="K191" s="11">
        <v>6</v>
      </c>
      <c r="L191" s="12">
        <f>+M191/1000</f>
        <v>2.1240000000000001</v>
      </c>
      <c r="M191" s="13">
        <f>+C191</f>
        <v>2124</v>
      </c>
      <c r="N191" s="16" t="s">
        <v>989</v>
      </c>
    </row>
    <row r="192" spans="1:16" s="5" customFormat="1" ht="12">
      <c r="A192" s="40" t="s">
        <v>43</v>
      </c>
      <c r="B192" s="40" t="s">
        <v>1008</v>
      </c>
      <c r="C192" s="97">
        <v>4290</v>
      </c>
      <c r="D192" s="97">
        <v>4230</v>
      </c>
      <c r="E192" s="97">
        <v>3822</v>
      </c>
      <c r="F192" s="97">
        <v>1343</v>
      </c>
      <c r="G192" s="97">
        <v>4249</v>
      </c>
      <c r="H192" s="97">
        <v>2897</v>
      </c>
      <c r="I192" s="98"/>
      <c r="J192" s="10">
        <f>+K192*L192</f>
        <v>25.740000000000002</v>
      </c>
      <c r="K192" s="11">
        <v>6</v>
      </c>
      <c r="L192" s="12">
        <f>+M192/1000</f>
        <v>4.29</v>
      </c>
      <c r="M192" s="13">
        <f>+C192</f>
        <v>4290</v>
      </c>
      <c r="N192" s="16" t="s">
        <v>1009</v>
      </c>
    </row>
    <row r="193" spans="1:16" s="5" customFormat="1" ht="12">
      <c r="A193" s="64" t="s">
        <v>43</v>
      </c>
      <c r="B193" s="64" t="s">
        <v>1034</v>
      </c>
      <c r="C193" s="19">
        <v>436</v>
      </c>
      <c r="D193" s="19">
        <v>400</v>
      </c>
      <c r="E193" s="19">
        <v>329</v>
      </c>
      <c r="F193" s="19">
        <v>136</v>
      </c>
      <c r="G193" s="19">
        <v>417</v>
      </c>
      <c r="H193" s="19">
        <v>267</v>
      </c>
      <c r="I193" s="101"/>
      <c r="J193" s="17">
        <v>2.6160000000000001</v>
      </c>
      <c r="K193" s="17">
        <v>6</v>
      </c>
      <c r="L193" s="18">
        <v>0.436</v>
      </c>
      <c r="M193" s="19">
        <v>436</v>
      </c>
      <c r="N193" s="22" t="s">
        <v>1035</v>
      </c>
      <c r="O193" s="9"/>
      <c r="P193" s="9"/>
    </row>
    <row r="194" spans="1:16" s="5" customFormat="1" ht="12">
      <c r="A194" s="40" t="s">
        <v>43</v>
      </c>
      <c r="B194" s="40" t="s">
        <v>1065</v>
      </c>
      <c r="C194" s="97">
        <v>3103</v>
      </c>
      <c r="D194" s="97">
        <v>3061</v>
      </c>
      <c r="E194" s="97">
        <v>2627</v>
      </c>
      <c r="F194" s="97">
        <v>893</v>
      </c>
      <c r="G194" s="97">
        <v>3041</v>
      </c>
      <c r="H194" s="97">
        <v>1922</v>
      </c>
      <c r="I194" s="98"/>
      <c r="J194" s="10">
        <f>+K194*L194</f>
        <v>18.618000000000002</v>
      </c>
      <c r="K194" s="11">
        <v>6</v>
      </c>
      <c r="L194" s="12">
        <f>+M194/1000</f>
        <v>3.1030000000000002</v>
      </c>
      <c r="M194" s="13">
        <f>+C194</f>
        <v>3103</v>
      </c>
      <c r="N194" s="16" t="s">
        <v>1066</v>
      </c>
    </row>
    <row r="195" spans="1:16" s="5" customFormat="1" ht="12">
      <c r="A195" s="65" t="s">
        <v>43</v>
      </c>
      <c r="B195" s="65" t="s">
        <v>1096</v>
      </c>
      <c r="C195" s="38">
        <v>7165</v>
      </c>
      <c r="D195" s="38">
        <v>7111</v>
      </c>
      <c r="E195" s="38">
        <v>6237</v>
      </c>
      <c r="F195" s="38">
        <v>1929</v>
      </c>
      <c r="G195" s="38">
        <v>7069</v>
      </c>
      <c r="H195" s="38">
        <v>4502</v>
      </c>
      <c r="I195" s="102"/>
      <c r="J195" s="36">
        <f>+K195*L195</f>
        <v>42.99</v>
      </c>
      <c r="K195" s="36">
        <v>6</v>
      </c>
      <c r="L195" s="37">
        <f>+M195/1000</f>
        <v>7.165</v>
      </c>
      <c r="M195" s="38">
        <f>+C195</f>
        <v>7165</v>
      </c>
      <c r="N195" s="39" t="s">
        <v>1097</v>
      </c>
      <c r="O195" s="2"/>
      <c r="P195" s="2"/>
    </row>
    <row r="196" spans="1:16" s="5" customFormat="1" ht="12">
      <c r="A196" s="64" t="s">
        <v>43</v>
      </c>
      <c r="B196" s="64" t="s">
        <v>1116</v>
      </c>
      <c r="C196" s="19">
        <v>488</v>
      </c>
      <c r="D196" s="19">
        <v>475</v>
      </c>
      <c r="E196" s="19">
        <v>370</v>
      </c>
      <c r="F196" s="19">
        <v>140</v>
      </c>
      <c r="G196" s="19">
        <v>479</v>
      </c>
      <c r="H196" s="19">
        <v>281</v>
      </c>
      <c r="I196" s="101"/>
      <c r="J196" s="17">
        <v>2.9279999999999999</v>
      </c>
      <c r="K196" s="17">
        <v>6</v>
      </c>
      <c r="L196" s="18">
        <v>0.48799999999999999</v>
      </c>
      <c r="M196" s="19">
        <v>488</v>
      </c>
      <c r="N196" s="22" t="s">
        <v>1117</v>
      </c>
      <c r="O196" s="9"/>
      <c r="P196" s="9"/>
    </row>
    <row r="197" spans="1:16" s="5" customFormat="1" ht="12">
      <c r="A197" s="40" t="s">
        <v>43</v>
      </c>
      <c r="B197" s="40" t="s">
        <v>1137</v>
      </c>
      <c r="C197" s="97">
        <v>1566</v>
      </c>
      <c r="D197" s="97">
        <v>1529</v>
      </c>
      <c r="E197" s="97">
        <v>1289</v>
      </c>
      <c r="F197" s="97">
        <v>421</v>
      </c>
      <c r="G197" s="97">
        <v>1529</v>
      </c>
      <c r="H197" s="97">
        <v>954</v>
      </c>
      <c r="I197" s="98"/>
      <c r="J197" s="10">
        <f>+K197*L197</f>
        <v>9.3960000000000008</v>
      </c>
      <c r="K197" s="11">
        <v>6</v>
      </c>
      <c r="L197" s="12">
        <f>+M197/1000</f>
        <v>1.5660000000000001</v>
      </c>
      <c r="M197" s="13">
        <f>+C197</f>
        <v>1566</v>
      </c>
      <c r="N197" s="16" t="s">
        <v>1138</v>
      </c>
    </row>
    <row r="198" spans="1:16" s="5" customFormat="1" ht="12">
      <c r="A198" s="64" t="s">
        <v>43</v>
      </c>
      <c r="B198" s="64" t="s">
        <v>1140</v>
      </c>
      <c r="C198" s="19">
        <v>898</v>
      </c>
      <c r="D198" s="19">
        <v>877</v>
      </c>
      <c r="E198" s="19">
        <v>804</v>
      </c>
      <c r="F198" s="19">
        <v>305</v>
      </c>
      <c r="G198" s="19">
        <v>888</v>
      </c>
      <c r="H198" s="19">
        <v>585</v>
      </c>
      <c r="I198" s="101"/>
      <c r="J198" s="17">
        <v>5.3879999999999999</v>
      </c>
      <c r="K198" s="17">
        <v>6</v>
      </c>
      <c r="L198" s="18">
        <v>0.89800000000000002</v>
      </c>
      <c r="M198" s="19">
        <v>898</v>
      </c>
      <c r="N198" s="22" t="s">
        <v>1141</v>
      </c>
      <c r="O198" s="9"/>
      <c r="P198" s="9"/>
    </row>
    <row r="199" spans="1:16" s="5" customFormat="1" ht="12">
      <c r="A199" s="64" t="s">
        <v>43</v>
      </c>
      <c r="B199" s="64" t="s">
        <v>1149</v>
      </c>
      <c r="C199" s="19">
        <v>595</v>
      </c>
      <c r="D199" s="19">
        <v>578</v>
      </c>
      <c r="E199" s="19">
        <v>495</v>
      </c>
      <c r="F199" s="19">
        <v>123</v>
      </c>
      <c r="G199" s="19">
        <v>586</v>
      </c>
      <c r="H199" s="19">
        <v>305</v>
      </c>
      <c r="I199" s="101"/>
      <c r="J199" s="17">
        <v>3.57</v>
      </c>
      <c r="K199" s="17">
        <v>6</v>
      </c>
      <c r="L199" s="18">
        <v>0.59499999999999997</v>
      </c>
      <c r="M199" s="19">
        <v>595</v>
      </c>
      <c r="N199" s="22" t="s">
        <v>1150</v>
      </c>
      <c r="O199" s="9"/>
      <c r="P199" s="9"/>
    </row>
    <row r="200" spans="1:16" s="5" customFormat="1" ht="12">
      <c r="A200" s="64" t="s">
        <v>43</v>
      </c>
      <c r="B200" s="64" t="s">
        <v>1167</v>
      </c>
      <c r="C200" s="19">
        <v>854</v>
      </c>
      <c r="D200" s="19">
        <v>821</v>
      </c>
      <c r="E200" s="19">
        <v>715</v>
      </c>
      <c r="F200" s="19">
        <v>252</v>
      </c>
      <c r="G200" s="19">
        <v>830</v>
      </c>
      <c r="H200" s="19">
        <v>576</v>
      </c>
      <c r="I200" s="101"/>
      <c r="J200" s="17">
        <v>5.1239999999999997</v>
      </c>
      <c r="K200" s="17">
        <v>6</v>
      </c>
      <c r="L200" s="18">
        <v>0.85399999999999998</v>
      </c>
      <c r="M200" s="19">
        <v>854</v>
      </c>
      <c r="N200" s="22" t="s">
        <v>1168</v>
      </c>
      <c r="O200" s="9"/>
      <c r="P200" s="9"/>
    </row>
    <row r="201" spans="1:16" s="5" customFormat="1" ht="12">
      <c r="A201" s="64" t="s">
        <v>43</v>
      </c>
      <c r="B201" s="64" t="s">
        <v>1221</v>
      </c>
      <c r="C201" s="19">
        <v>504</v>
      </c>
      <c r="D201" s="19">
        <v>486</v>
      </c>
      <c r="E201" s="19">
        <v>431</v>
      </c>
      <c r="F201" s="19">
        <v>173</v>
      </c>
      <c r="G201" s="19">
        <v>497</v>
      </c>
      <c r="H201" s="19">
        <v>328</v>
      </c>
      <c r="I201" s="101"/>
      <c r="J201" s="17">
        <v>3.024</v>
      </c>
      <c r="K201" s="17">
        <v>6</v>
      </c>
      <c r="L201" s="18">
        <v>0.504</v>
      </c>
      <c r="M201" s="19">
        <v>504</v>
      </c>
      <c r="N201" s="22" t="s">
        <v>1222</v>
      </c>
      <c r="O201" s="9"/>
      <c r="P201" s="9"/>
    </row>
    <row r="202" spans="1:16" s="5" customFormat="1" ht="12">
      <c r="A202" s="64" t="s">
        <v>43</v>
      </c>
      <c r="B202" s="64" t="s">
        <v>1223</v>
      </c>
      <c r="C202" s="19">
        <v>535</v>
      </c>
      <c r="D202" s="19">
        <v>515</v>
      </c>
      <c r="E202" s="19">
        <v>442</v>
      </c>
      <c r="F202" s="19">
        <v>180</v>
      </c>
      <c r="G202" s="19">
        <v>529</v>
      </c>
      <c r="H202" s="19">
        <v>335</v>
      </c>
      <c r="I202" s="101"/>
      <c r="J202" s="17">
        <v>3.21</v>
      </c>
      <c r="K202" s="17">
        <v>6</v>
      </c>
      <c r="L202" s="18">
        <v>0.53500000000000003</v>
      </c>
      <c r="M202" s="19">
        <v>535</v>
      </c>
      <c r="N202" s="22" t="s">
        <v>1224</v>
      </c>
      <c r="O202" s="9"/>
      <c r="P202" s="9"/>
    </row>
    <row r="203" spans="1:16" s="5" customFormat="1" ht="12">
      <c r="A203" s="40" t="s">
        <v>43</v>
      </c>
      <c r="B203" s="40" t="s">
        <v>1283</v>
      </c>
      <c r="C203" s="97">
        <v>1271</v>
      </c>
      <c r="D203" s="97">
        <v>1249</v>
      </c>
      <c r="E203" s="97">
        <v>1025</v>
      </c>
      <c r="F203" s="97">
        <v>258</v>
      </c>
      <c r="G203" s="97">
        <v>1253</v>
      </c>
      <c r="H203" s="97">
        <v>697</v>
      </c>
      <c r="I203" s="98"/>
      <c r="J203" s="10">
        <f>+K203*L203</f>
        <v>7.6259999999999994</v>
      </c>
      <c r="K203" s="11">
        <v>6</v>
      </c>
      <c r="L203" s="12">
        <f>+M203/1000</f>
        <v>1.2709999999999999</v>
      </c>
      <c r="M203" s="13">
        <f>+C203</f>
        <v>1271</v>
      </c>
      <c r="N203" s="16" t="s">
        <v>1284</v>
      </c>
    </row>
    <row r="204" spans="1:16" s="5" customFormat="1" ht="12">
      <c r="A204" s="40" t="s">
        <v>43</v>
      </c>
      <c r="B204" s="40" t="s">
        <v>1290</v>
      </c>
      <c r="C204" s="97">
        <v>1115</v>
      </c>
      <c r="D204" s="97">
        <v>1077</v>
      </c>
      <c r="E204" s="97">
        <v>931</v>
      </c>
      <c r="F204" s="97">
        <v>246</v>
      </c>
      <c r="G204" s="97">
        <v>1092</v>
      </c>
      <c r="H204" s="97">
        <v>612</v>
      </c>
      <c r="I204" s="98"/>
      <c r="J204" s="10">
        <f>+K204*L204</f>
        <v>6.6899999999999995</v>
      </c>
      <c r="K204" s="11">
        <v>6</v>
      </c>
      <c r="L204" s="12">
        <f>+M204/1000</f>
        <v>1.115</v>
      </c>
      <c r="M204" s="13">
        <f>+C204</f>
        <v>1115</v>
      </c>
      <c r="N204" s="16" t="s">
        <v>1291</v>
      </c>
    </row>
    <row r="205" spans="1:16" s="5" customFormat="1" ht="12">
      <c r="A205" s="40" t="s">
        <v>43</v>
      </c>
      <c r="B205" s="40" t="s">
        <v>1292</v>
      </c>
      <c r="C205" s="97">
        <v>2866</v>
      </c>
      <c r="D205" s="97">
        <v>2811</v>
      </c>
      <c r="E205" s="97">
        <v>2511</v>
      </c>
      <c r="F205" s="97">
        <v>919</v>
      </c>
      <c r="G205" s="97">
        <v>2825</v>
      </c>
      <c r="H205" s="97">
        <v>1936</v>
      </c>
      <c r="I205" s="98"/>
      <c r="J205" s="10">
        <f>+K205*L205</f>
        <v>17.196000000000002</v>
      </c>
      <c r="K205" s="11">
        <v>6</v>
      </c>
      <c r="L205" s="12">
        <f>+M205/1000</f>
        <v>2.8660000000000001</v>
      </c>
      <c r="M205" s="13">
        <f>+C205</f>
        <v>2866</v>
      </c>
      <c r="N205" s="16" t="s">
        <v>1293</v>
      </c>
    </row>
    <row r="206" spans="1:16" s="5" customFormat="1" ht="12">
      <c r="A206" s="40" t="s">
        <v>43</v>
      </c>
      <c r="B206" s="40" t="s">
        <v>1306</v>
      </c>
      <c r="C206" s="97">
        <v>1603</v>
      </c>
      <c r="D206" s="97">
        <v>1558</v>
      </c>
      <c r="E206" s="97">
        <v>1347</v>
      </c>
      <c r="F206" s="97">
        <v>458</v>
      </c>
      <c r="G206" s="97">
        <v>1581</v>
      </c>
      <c r="H206" s="97">
        <v>994</v>
      </c>
      <c r="I206" s="98"/>
      <c r="J206" s="10">
        <f>+K206*L206</f>
        <v>9.6180000000000003</v>
      </c>
      <c r="K206" s="11">
        <v>6</v>
      </c>
      <c r="L206" s="12">
        <f>+M206/1000</f>
        <v>1.603</v>
      </c>
      <c r="M206" s="13">
        <f>+C206</f>
        <v>1603</v>
      </c>
      <c r="N206" s="16" t="s">
        <v>1307</v>
      </c>
    </row>
    <row r="207" spans="1:16" s="5" customFormat="1" ht="12">
      <c r="A207" s="64" t="s">
        <v>43</v>
      </c>
      <c r="B207" s="64" t="s">
        <v>1310</v>
      </c>
      <c r="C207" s="19">
        <v>427</v>
      </c>
      <c r="D207" s="19">
        <v>407</v>
      </c>
      <c r="E207" s="19">
        <v>340</v>
      </c>
      <c r="F207" s="19">
        <v>123</v>
      </c>
      <c r="G207" s="19">
        <v>421</v>
      </c>
      <c r="H207" s="19">
        <v>235</v>
      </c>
      <c r="I207" s="101"/>
      <c r="J207" s="17">
        <v>2.5619999999999998</v>
      </c>
      <c r="K207" s="17">
        <v>6</v>
      </c>
      <c r="L207" s="18">
        <v>0.42699999999999999</v>
      </c>
      <c r="M207" s="19">
        <v>427</v>
      </c>
      <c r="N207" s="22" t="s">
        <v>1311</v>
      </c>
      <c r="O207" s="9"/>
      <c r="P207" s="9"/>
    </row>
    <row r="208" spans="1:16" s="5" customFormat="1" ht="12">
      <c r="A208" s="40" t="s">
        <v>43</v>
      </c>
      <c r="B208" s="40" t="s">
        <v>1314</v>
      </c>
      <c r="C208" s="97">
        <v>6388</v>
      </c>
      <c r="D208" s="97">
        <v>6337</v>
      </c>
      <c r="E208" s="97">
        <v>5672</v>
      </c>
      <c r="F208" s="97">
        <v>1852</v>
      </c>
      <c r="G208" s="97">
        <v>6312</v>
      </c>
      <c r="H208" s="97">
        <v>4334</v>
      </c>
      <c r="I208" s="98"/>
      <c r="J208" s="10">
        <f>+K208*L208</f>
        <v>38.328000000000003</v>
      </c>
      <c r="K208" s="11">
        <v>6</v>
      </c>
      <c r="L208" s="12">
        <f>+M208/1000</f>
        <v>6.3879999999999999</v>
      </c>
      <c r="M208" s="13">
        <f>+C208</f>
        <v>6388</v>
      </c>
      <c r="N208" s="16" t="s">
        <v>1315</v>
      </c>
    </row>
    <row r="209" spans="1:16" s="5" customFormat="1" ht="12">
      <c r="A209" s="64" t="s">
        <v>43</v>
      </c>
      <c r="B209" s="64" t="s">
        <v>1342</v>
      </c>
      <c r="C209" s="19">
        <v>407</v>
      </c>
      <c r="D209" s="19">
        <v>402</v>
      </c>
      <c r="E209" s="19">
        <v>332</v>
      </c>
      <c r="F209" s="19">
        <v>111</v>
      </c>
      <c r="G209" s="19">
        <v>398</v>
      </c>
      <c r="H209" s="19">
        <v>258</v>
      </c>
      <c r="I209" s="101"/>
      <c r="J209" s="17">
        <v>2.4420000000000002</v>
      </c>
      <c r="K209" s="17">
        <v>6</v>
      </c>
      <c r="L209" s="18">
        <v>0.40699999999999997</v>
      </c>
      <c r="M209" s="19">
        <v>407</v>
      </c>
      <c r="N209" s="22" t="s">
        <v>1343</v>
      </c>
      <c r="O209" s="9"/>
      <c r="P209" s="9"/>
    </row>
    <row r="210" spans="1:16" s="5" customFormat="1" ht="12">
      <c r="A210" s="40" t="s">
        <v>43</v>
      </c>
      <c r="B210" s="40" t="s">
        <v>1344</v>
      </c>
      <c r="C210" s="97">
        <v>1220</v>
      </c>
      <c r="D210" s="97">
        <v>1185</v>
      </c>
      <c r="E210" s="97">
        <v>1032</v>
      </c>
      <c r="F210" s="97">
        <v>341</v>
      </c>
      <c r="G210" s="97">
        <v>1201</v>
      </c>
      <c r="H210" s="97">
        <v>755</v>
      </c>
      <c r="I210" s="98"/>
      <c r="J210" s="10">
        <f>+K210*L210</f>
        <v>7.32</v>
      </c>
      <c r="K210" s="11">
        <v>6</v>
      </c>
      <c r="L210" s="12">
        <f>+M210/1000</f>
        <v>1.22</v>
      </c>
      <c r="M210" s="13">
        <f>+C210</f>
        <v>1220</v>
      </c>
      <c r="N210" s="16" t="s">
        <v>1345</v>
      </c>
    </row>
    <row r="211" spans="1:16" s="5" customFormat="1" ht="12">
      <c r="A211" s="40" t="s">
        <v>43</v>
      </c>
      <c r="B211" s="40" t="s">
        <v>1349</v>
      </c>
      <c r="C211" s="97">
        <v>1671</v>
      </c>
      <c r="D211" s="97">
        <v>1655</v>
      </c>
      <c r="E211" s="97">
        <v>1429</v>
      </c>
      <c r="F211" s="97">
        <v>453</v>
      </c>
      <c r="G211" s="97">
        <v>1637</v>
      </c>
      <c r="H211" s="97">
        <v>1098</v>
      </c>
      <c r="I211" s="98"/>
      <c r="J211" s="10">
        <f>+K211*L211</f>
        <v>10.026</v>
      </c>
      <c r="K211" s="11">
        <v>6</v>
      </c>
      <c r="L211" s="12">
        <f>+M211/1000</f>
        <v>1.671</v>
      </c>
      <c r="M211" s="13">
        <f>+C211</f>
        <v>1671</v>
      </c>
      <c r="N211" s="16" t="s">
        <v>1350</v>
      </c>
    </row>
    <row r="212" spans="1:16" s="5" customFormat="1" ht="12">
      <c r="A212" s="40" t="s">
        <v>43</v>
      </c>
      <c r="B212" s="40" t="s">
        <v>1353</v>
      </c>
      <c r="C212" s="97">
        <v>2300</v>
      </c>
      <c r="D212" s="97">
        <v>2276</v>
      </c>
      <c r="E212" s="97">
        <v>1986</v>
      </c>
      <c r="F212" s="97">
        <v>610</v>
      </c>
      <c r="G212" s="97">
        <v>2262</v>
      </c>
      <c r="H212" s="97">
        <v>1418</v>
      </c>
      <c r="I212" s="98"/>
      <c r="J212" s="10">
        <f>+K212*L212</f>
        <v>13.799999999999999</v>
      </c>
      <c r="K212" s="11">
        <v>6</v>
      </c>
      <c r="L212" s="12">
        <f>+M212/1000</f>
        <v>2.2999999999999998</v>
      </c>
      <c r="M212" s="13">
        <f>+C212</f>
        <v>2300</v>
      </c>
      <c r="N212" s="16" t="s">
        <v>1354</v>
      </c>
    </row>
    <row r="213" spans="1:16" s="5" customFormat="1" ht="12">
      <c r="A213" s="40" t="s">
        <v>43</v>
      </c>
      <c r="B213" s="40" t="s">
        <v>1361</v>
      </c>
      <c r="C213" s="97">
        <v>1844</v>
      </c>
      <c r="D213" s="97">
        <v>1813</v>
      </c>
      <c r="E213" s="97">
        <v>1552</v>
      </c>
      <c r="F213" s="97">
        <v>501</v>
      </c>
      <c r="G213" s="97">
        <v>1801</v>
      </c>
      <c r="H213" s="97">
        <v>1147</v>
      </c>
      <c r="I213" s="98"/>
      <c r="J213" s="10">
        <f>+K213*L213</f>
        <v>11.064</v>
      </c>
      <c r="K213" s="11">
        <v>6</v>
      </c>
      <c r="L213" s="12">
        <f>+M213/1000</f>
        <v>1.8440000000000001</v>
      </c>
      <c r="M213" s="13">
        <f>+C213</f>
        <v>1844</v>
      </c>
      <c r="N213" s="16" t="s">
        <v>1362</v>
      </c>
    </row>
    <row r="214" spans="1:16" s="5" customFormat="1" ht="12">
      <c r="A214" s="64" t="s">
        <v>43</v>
      </c>
      <c r="B214" s="64" t="s">
        <v>1369</v>
      </c>
      <c r="C214" s="19">
        <v>505</v>
      </c>
      <c r="D214" s="19">
        <v>486</v>
      </c>
      <c r="E214" s="19">
        <v>395</v>
      </c>
      <c r="F214" s="19">
        <v>129</v>
      </c>
      <c r="G214" s="19">
        <v>500</v>
      </c>
      <c r="H214" s="19">
        <v>294</v>
      </c>
      <c r="I214" s="101"/>
      <c r="J214" s="17">
        <v>3.03</v>
      </c>
      <c r="K214" s="17">
        <v>6</v>
      </c>
      <c r="L214" s="18">
        <v>0.505</v>
      </c>
      <c r="M214" s="19">
        <v>505</v>
      </c>
      <c r="N214" s="22" t="s">
        <v>1370</v>
      </c>
      <c r="O214" s="9"/>
      <c r="P214" s="9"/>
    </row>
    <row r="215" spans="1:16" s="5" customFormat="1" ht="12">
      <c r="A215" s="64" t="s">
        <v>43</v>
      </c>
      <c r="B215" s="64" t="s">
        <v>1372</v>
      </c>
      <c r="C215" s="19">
        <v>517</v>
      </c>
      <c r="D215" s="19">
        <v>506</v>
      </c>
      <c r="E215" s="19">
        <v>424</v>
      </c>
      <c r="F215" s="19">
        <v>153</v>
      </c>
      <c r="G215" s="19">
        <v>508</v>
      </c>
      <c r="H215" s="19">
        <v>301</v>
      </c>
      <c r="I215" s="101"/>
      <c r="J215" s="17">
        <v>3.1019999999999999</v>
      </c>
      <c r="K215" s="17">
        <v>6</v>
      </c>
      <c r="L215" s="18">
        <v>0.51700000000000002</v>
      </c>
      <c r="M215" s="19">
        <v>517</v>
      </c>
      <c r="N215" s="22" t="s">
        <v>1373</v>
      </c>
      <c r="O215" s="9"/>
      <c r="P215" s="9"/>
    </row>
    <row r="216" spans="1:16" s="5" customFormat="1" ht="12">
      <c r="A216" s="64" t="s">
        <v>43</v>
      </c>
      <c r="B216" s="64" t="s">
        <v>1374</v>
      </c>
      <c r="C216" s="19">
        <v>774</v>
      </c>
      <c r="D216" s="19">
        <v>762</v>
      </c>
      <c r="E216" s="19">
        <v>638</v>
      </c>
      <c r="F216" s="19">
        <v>220</v>
      </c>
      <c r="G216" s="19">
        <v>764</v>
      </c>
      <c r="H216" s="19">
        <v>476</v>
      </c>
      <c r="I216" s="101"/>
      <c r="J216" s="17">
        <v>4.6440000000000001</v>
      </c>
      <c r="K216" s="17">
        <v>6</v>
      </c>
      <c r="L216" s="18">
        <v>0.77400000000000002</v>
      </c>
      <c r="M216" s="19">
        <v>774</v>
      </c>
      <c r="N216" s="22" t="s">
        <v>1375</v>
      </c>
      <c r="O216" s="9"/>
      <c r="P216" s="9"/>
    </row>
    <row r="217" spans="1:16" s="5" customFormat="1" ht="12">
      <c r="A217" s="64" t="s">
        <v>43</v>
      </c>
      <c r="B217" s="64" t="s">
        <v>1376</v>
      </c>
      <c r="C217" s="19">
        <v>627</v>
      </c>
      <c r="D217" s="19">
        <v>611</v>
      </c>
      <c r="E217" s="19">
        <v>503</v>
      </c>
      <c r="F217" s="19">
        <v>148</v>
      </c>
      <c r="G217" s="19">
        <v>618</v>
      </c>
      <c r="H217" s="19">
        <v>345</v>
      </c>
      <c r="I217" s="101"/>
      <c r="J217" s="17">
        <v>3.762</v>
      </c>
      <c r="K217" s="17">
        <v>6</v>
      </c>
      <c r="L217" s="18">
        <v>0.627</v>
      </c>
      <c r="M217" s="19">
        <v>627</v>
      </c>
      <c r="N217" s="22" t="s">
        <v>1377</v>
      </c>
      <c r="O217" s="9"/>
      <c r="P217" s="9"/>
    </row>
    <row r="218" spans="1:16" s="5" customFormat="1" ht="12">
      <c r="A218" s="40" t="s">
        <v>43</v>
      </c>
      <c r="B218" s="40" t="s">
        <v>1437</v>
      </c>
      <c r="C218" s="97">
        <v>1135</v>
      </c>
      <c r="D218" s="97">
        <v>1098</v>
      </c>
      <c r="E218" s="97">
        <v>936</v>
      </c>
      <c r="F218" s="97">
        <v>290</v>
      </c>
      <c r="G218" s="97">
        <v>1109</v>
      </c>
      <c r="H218" s="97">
        <v>692</v>
      </c>
      <c r="I218" s="98"/>
      <c r="J218" s="10">
        <f>+K218*L218</f>
        <v>6.8100000000000005</v>
      </c>
      <c r="K218" s="11">
        <v>6</v>
      </c>
      <c r="L218" s="12">
        <f>+M218/1000</f>
        <v>1.135</v>
      </c>
      <c r="M218" s="13">
        <f>+C218</f>
        <v>1135</v>
      </c>
      <c r="N218" s="16" t="s">
        <v>1438</v>
      </c>
    </row>
    <row r="219" spans="1:16" s="5" customFormat="1" ht="12">
      <c r="A219" s="64" t="s">
        <v>43</v>
      </c>
      <c r="B219" s="64" t="s">
        <v>1470</v>
      </c>
      <c r="C219" s="19">
        <v>518</v>
      </c>
      <c r="D219" s="19">
        <v>501</v>
      </c>
      <c r="E219" s="19">
        <v>416</v>
      </c>
      <c r="F219" s="19">
        <v>118</v>
      </c>
      <c r="G219" s="19">
        <v>502</v>
      </c>
      <c r="H219" s="19">
        <v>304</v>
      </c>
      <c r="I219" s="101"/>
      <c r="J219" s="17">
        <v>3.1080000000000001</v>
      </c>
      <c r="K219" s="17">
        <v>6</v>
      </c>
      <c r="L219" s="18">
        <v>0.51800000000000002</v>
      </c>
      <c r="M219" s="19">
        <v>518</v>
      </c>
      <c r="N219" s="22" t="s">
        <v>1471</v>
      </c>
      <c r="O219" s="9"/>
      <c r="P219" s="9"/>
    </row>
    <row r="220" spans="1:16" s="5" customFormat="1" ht="12">
      <c r="A220" s="64" t="s">
        <v>43</v>
      </c>
      <c r="B220" s="64" t="s">
        <v>1941</v>
      </c>
      <c r="C220" s="19">
        <v>912</v>
      </c>
      <c r="D220" s="19">
        <v>893</v>
      </c>
      <c r="E220" s="19">
        <v>779</v>
      </c>
      <c r="F220" s="19">
        <v>276</v>
      </c>
      <c r="G220" s="19">
        <v>892</v>
      </c>
      <c r="H220" s="19">
        <v>573</v>
      </c>
      <c r="I220" s="101"/>
      <c r="J220" s="17">
        <v>5.4720000000000004</v>
      </c>
      <c r="K220" s="17">
        <v>6</v>
      </c>
      <c r="L220" s="18">
        <v>0.91200000000000003</v>
      </c>
      <c r="M220" s="19">
        <v>912</v>
      </c>
      <c r="N220" s="22" t="s">
        <v>1476</v>
      </c>
      <c r="O220" s="9"/>
      <c r="P220" s="9"/>
    </row>
    <row r="221" spans="1:16" s="5" customFormat="1" ht="12">
      <c r="A221" s="64" t="s">
        <v>43</v>
      </c>
      <c r="B221" s="64" t="s">
        <v>1479</v>
      </c>
      <c r="C221" s="19">
        <v>521</v>
      </c>
      <c r="D221" s="19">
        <v>510</v>
      </c>
      <c r="E221" s="19">
        <v>445</v>
      </c>
      <c r="F221" s="19">
        <v>137</v>
      </c>
      <c r="G221" s="19">
        <v>513</v>
      </c>
      <c r="H221" s="19">
        <v>314</v>
      </c>
      <c r="I221" s="101"/>
      <c r="J221" s="17">
        <v>3.1259999999999999</v>
      </c>
      <c r="K221" s="17">
        <v>6</v>
      </c>
      <c r="L221" s="18">
        <v>0.52100000000000002</v>
      </c>
      <c r="M221" s="19">
        <v>521</v>
      </c>
      <c r="N221" s="22" t="s">
        <v>1480</v>
      </c>
      <c r="O221" s="9"/>
      <c r="P221" s="9"/>
    </row>
    <row r="222" spans="1:16" s="5" customFormat="1" ht="12">
      <c r="A222" s="40" t="s">
        <v>43</v>
      </c>
      <c r="B222" s="40" t="s">
        <v>1507</v>
      </c>
      <c r="C222" s="97">
        <v>1616</v>
      </c>
      <c r="D222" s="97">
        <v>1581</v>
      </c>
      <c r="E222" s="97">
        <v>1335</v>
      </c>
      <c r="F222" s="97">
        <v>376</v>
      </c>
      <c r="G222" s="97">
        <v>1579</v>
      </c>
      <c r="H222" s="97">
        <v>913</v>
      </c>
      <c r="I222" s="98"/>
      <c r="J222" s="10">
        <f>+K222*L222</f>
        <v>9.6960000000000015</v>
      </c>
      <c r="K222" s="11">
        <v>6</v>
      </c>
      <c r="L222" s="12">
        <f>+M222/1000</f>
        <v>1.6160000000000001</v>
      </c>
      <c r="M222" s="13">
        <f>+C222</f>
        <v>1616</v>
      </c>
      <c r="N222" s="16" t="s">
        <v>1508</v>
      </c>
    </row>
    <row r="223" spans="1:16" s="5" customFormat="1" ht="12">
      <c r="A223" s="64" t="s">
        <v>43</v>
      </c>
      <c r="B223" s="64" t="s">
        <v>1538</v>
      </c>
      <c r="C223" s="19">
        <v>746</v>
      </c>
      <c r="D223" s="19">
        <v>731</v>
      </c>
      <c r="E223" s="19">
        <v>637</v>
      </c>
      <c r="F223" s="19">
        <v>242</v>
      </c>
      <c r="G223" s="19">
        <v>737</v>
      </c>
      <c r="H223" s="19">
        <v>496</v>
      </c>
      <c r="I223" s="101"/>
      <c r="J223" s="17">
        <v>4.476</v>
      </c>
      <c r="K223" s="17">
        <v>6</v>
      </c>
      <c r="L223" s="18">
        <v>0.746</v>
      </c>
      <c r="M223" s="19">
        <v>746</v>
      </c>
      <c r="N223" s="22" t="s">
        <v>1539</v>
      </c>
      <c r="O223" s="9"/>
      <c r="P223" s="9"/>
    </row>
    <row r="224" spans="1:16" s="5" customFormat="1" ht="12">
      <c r="A224" s="64" t="s">
        <v>43</v>
      </c>
      <c r="B224" s="64" t="s">
        <v>1559</v>
      </c>
      <c r="C224" s="19">
        <v>518</v>
      </c>
      <c r="D224" s="19">
        <v>508</v>
      </c>
      <c r="E224" s="19">
        <v>414</v>
      </c>
      <c r="F224" s="19">
        <v>117</v>
      </c>
      <c r="G224" s="19">
        <v>513</v>
      </c>
      <c r="H224" s="19">
        <v>298</v>
      </c>
      <c r="I224" s="101"/>
      <c r="J224" s="17">
        <v>3.1080000000000001</v>
      </c>
      <c r="K224" s="17">
        <v>6</v>
      </c>
      <c r="L224" s="18">
        <v>0.51800000000000002</v>
      </c>
      <c r="M224" s="19">
        <v>518</v>
      </c>
      <c r="N224" s="22" t="s">
        <v>1560</v>
      </c>
      <c r="O224" s="9"/>
      <c r="P224" s="9"/>
    </row>
    <row r="225" spans="1:16" s="5" customFormat="1" ht="12">
      <c r="A225" s="40" t="s">
        <v>43</v>
      </c>
      <c r="B225" s="40" t="s">
        <v>1561</v>
      </c>
      <c r="C225" s="97">
        <v>1386</v>
      </c>
      <c r="D225" s="97">
        <v>1373</v>
      </c>
      <c r="E225" s="97">
        <v>1157</v>
      </c>
      <c r="F225" s="97">
        <v>297</v>
      </c>
      <c r="G225" s="97">
        <v>1373</v>
      </c>
      <c r="H225" s="97">
        <v>801</v>
      </c>
      <c r="I225" s="98"/>
      <c r="J225" s="10">
        <f>+K225*L225</f>
        <v>8.3159999999999989</v>
      </c>
      <c r="K225" s="11">
        <v>6</v>
      </c>
      <c r="L225" s="12">
        <f>+M225/1000</f>
        <v>1.3859999999999999</v>
      </c>
      <c r="M225" s="13">
        <f>+C225</f>
        <v>1386</v>
      </c>
      <c r="N225" s="16" t="s">
        <v>1562</v>
      </c>
    </row>
    <row r="226" spans="1:16" s="5" customFormat="1" ht="12">
      <c r="A226" s="64" t="s">
        <v>43</v>
      </c>
      <c r="B226" s="64" t="s">
        <v>1574</v>
      </c>
      <c r="C226" s="19">
        <v>967</v>
      </c>
      <c r="D226" s="19">
        <v>956</v>
      </c>
      <c r="E226" s="19">
        <v>799</v>
      </c>
      <c r="F226" s="19">
        <v>251</v>
      </c>
      <c r="G226" s="19">
        <v>961</v>
      </c>
      <c r="H226" s="19">
        <v>580</v>
      </c>
      <c r="I226" s="101"/>
      <c r="J226" s="17">
        <v>5.8019999999999996</v>
      </c>
      <c r="K226" s="17">
        <v>6</v>
      </c>
      <c r="L226" s="18">
        <v>0.96699999999999997</v>
      </c>
      <c r="M226" s="19">
        <v>967</v>
      </c>
      <c r="N226" s="22" t="s">
        <v>1575</v>
      </c>
      <c r="O226" s="9"/>
      <c r="P226" s="9"/>
    </row>
    <row r="227" spans="1:16" s="5" customFormat="1" ht="12">
      <c r="A227" s="64" t="s">
        <v>43</v>
      </c>
      <c r="B227" s="64" t="s">
        <v>1588</v>
      </c>
      <c r="C227" s="19">
        <v>1447</v>
      </c>
      <c r="D227" s="19">
        <v>1422</v>
      </c>
      <c r="E227" s="19">
        <v>1205</v>
      </c>
      <c r="F227" s="19">
        <v>395</v>
      </c>
      <c r="G227" s="19">
        <v>1396</v>
      </c>
      <c r="H227" s="19">
        <v>878</v>
      </c>
      <c r="I227" s="101"/>
      <c r="J227" s="17">
        <v>8.6820000000000004</v>
      </c>
      <c r="K227" s="17">
        <v>6</v>
      </c>
      <c r="L227" s="18">
        <v>1.4470000000000001</v>
      </c>
      <c r="M227" s="19">
        <v>1447</v>
      </c>
      <c r="N227" s="22" t="s">
        <v>1589</v>
      </c>
      <c r="O227" s="9"/>
      <c r="P227" s="9"/>
    </row>
    <row r="228" spans="1:16" s="5" customFormat="1" ht="12">
      <c r="A228" s="40" t="s">
        <v>43</v>
      </c>
      <c r="B228" s="40" t="s">
        <v>1596</v>
      </c>
      <c r="C228" s="97">
        <v>1630</v>
      </c>
      <c r="D228" s="97">
        <v>1601</v>
      </c>
      <c r="E228" s="97">
        <v>1388</v>
      </c>
      <c r="F228" s="97">
        <v>436</v>
      </c>
      <c r="G228" s="97">
        <v>1608</v>
      </c>
      <c r="H228" s="97">
        <v>1019</v>
      </c>
      <c r="I228" s="98"/>
      <c r="J228" s="10">
        <f t="shared" ref="J228:J233" si="15">+K228*L228</f>
        <v>9.7799999999999994</v>
      </c>
      <c r="K228" s="11">
        <v>6</v>
      </c>
      <c r="L228" s="12">
        <f t="shared" ref="L228:L233" si="16">+M228/1000</f>
        <v>1.63</v>
      </c>
      <c r="M228" s="13">
        <f t="shared" ref="M228:M233" si="17">+C228</f>
        <v>1630</v>
      </c>
      <c r="N228" s="16" t="s">
        <v>1597</v>
      </c>
    </row>
    <row r="229" spans="1:16" s="5" customFormat="1" ht="12">
      <c r="A229" s="40" t="s">
        <v>43</v>
      </c>
      <c r="B229" s="40" t="s">
        <v>1601</v>
      </c>
      <c r="C229" s="97">
        <v>2493</v>
      </c>
      <c r="D229" s="97">
        <v>2459</v>
      </c>
      <c r="E229" s="97">
        <v>2132</v>
      </c>
      <c r="F229" s="97">
        <v>740</v>
      </c>
      <c r="G229" s="97">
        <v>2464</v>
      </c>
      <c r="H229" s="97">
        <v>1682</v>
      </c>
      <c r="I229" s="98"/>
      <c r="J229" s="10">
        <f t="shared" si="15"/>
        <v>14.957999999999998</v>
      </c>
      <c r="K229" s="11">
        <v>6</v>
      </c>
      <c r="L229" s="12">
        <f t="shared" si="16"/>
        <v>2.4929999999999999</v>
      </c>
      <c r="M229" s="13">
        <f t="shared" si="17"/>
        <v>2493</v>
      </c>
      <c r="N229" s="16" t="s">
        <v>1602</v>
      </c>
    </row>
    <row r="230" spans="1:16" s="5" customFormat="1" ht="12">
      <c r="A230" s="40" t="s">
        <v>43</v>
      </c>
      <c r="B230" s="40" t="s">
        <v>1606</v>
      </c>
      <c r="C230" s="97">
        <v>3346</v>
      </c>
      <c r="D230" s="97">
        <v>3309</v>
      </c>
      <c r="E230" s="97">
        <v>2869</v>
      </c>
      <c r="F230" s="97">
        <v>929</v>
      </c>
      <c r="G230" s="97">
        <v>3293</v>
      </c>
      <c r="H230" s="97">
        <v>2130</v>
      </c>
      <c r="I230" s="98"/>
      <c r="J230" s="10">
        <f t="shared" si="15"/>
        <v>20.076000000000001</v>
      </c>
      <c r="K230" s="11">
        <v>6</v>
      </c>
      <c r="L230" s="12">
        <f t="shared" si="16"/>
        <v>3.3460000000000001</v>
      </c>
      <c r="M230" s="13">
        <f t="shared" si="17"/>
        <v>3346</v>
      </c>
      <c r="N230" s="16" t="s">
        <v>1607</v>
      </c>
    </row>
    <row r="231" spans="1:16" s="5" customFormat="1" ht="12">
      <c r="A231" s="40" t="s">
        <v>43</v>
      </c>
      <c r="B231" s="40" t="s">
        <v>1616</v>
      </c>
      <c r="C231" s="97">
        <v>8145</v>
      </c>
      <c r="D231" s="97">
        <v>8052</v>
      </c>
      <c r="E231" s="97">
        <v>7181</v>
      </c>
      <c r="F231" s="97">
        <v>2398</v>
      </c>
      <c r="G231" s="97">
        <v>8076</v>
      </c>
      <c r="H231" s="97">
        <v>5515</v>
      </c>
      <c r="I231" s="98"/>
      <c r="J231" s="10">
        <f t="shared" si="15"/>
        <v>48.87</v>
      </c>
      <c r="K231" s="11">
        <v>6</v>
      </c>
      <c r="L231" s="12">
        <f t="shared" si="16"/>
        <v>8.1449999999999996</v>
      </c>
      <c r="M231" s="13">
        <f t="shared" si="17"/>
        <v>8145</v>
      </c>
      <c r="N231" s="16" t="s">
        <v>1617</v>
      </c>
    </row>
    <row r="232" spans="1:16" s="5" customFormat="1" ht="12">
      <c r="A232" s="40" t="s">
        <v>43</v>
      </c>
      <c r="B232" s="40" t="s">
        <v>1661</v>
      </c>
      <c r="C232" s="97">
        <v>1538</v>
      </c>
      <c r="D232" s="97">
        <v>1513</v>
      </c>
      <c r="E232" s="97">
        <v>1287</v>
      </c>
      <c r="F232" s="97">
        <v>364</v>
      </c>
      <c r="G232" s="97">
        <v>1516</v>
      </c>
      <c r="H232" s="97">
        <v>906</v>
      </c>
      <c r="I232" s="98"/>
      <c r="J232" s="10">
        <f t="shared" si="15"/>
        <v>9.2279999999999998</v>
      </c>
      <c r="K232" s="11">
        <v>6</v>
      </c>
      <c r="L232" s="12">
        <f t="shared" si="16"/>
        <v>1.538</v>
      </c>
      <c r="M232" s="13">
        <f t="shared" si="17"/>
        <v>1538</v>
      </c>
      <c r="N232" s="16" t="s">
        <v>1662</v>
      </c>
    </row>
    <row r="233" spans="1:16" s="5" customFormat="1" ht="12">
      <c r="A233" s="40" t="s">
        <v>43</v>
      </c>
      <c r="B233" s="40" t="s">
        <v>1665</v>
      </c>
      <c r="C233" s="97">
        <v>1317</v>
      </c>
      <c r="D233" s="97">
        <v>1298</v>
      </c>
      <c r="E233" s="97">
        <v>1108</v>
      </c>
      <c r="F233" s="97">
        <v>328</v>
      </c>
      <c r="G233" s="97">
        <v>1298</v>
      </c>
      <c r="H233" s="97">
        <v>796</v>
      </c>
      <c r="I233" s="98"/>
      <c r="J233" s="10">
        <f t="shared" si="15"/>
        <v>7.9019999999999992</v>
      </c>
      <c r="K233" s="11">
        <v>6</v>
      </c>
      <c r="L233" s="12">
        <f t="shared" si="16"/>
        <v>1.3169999999999999</v>
      </c>
      <c r="M233" s="13">
        <f t="shared" si="17"/>
        <v>1317</v>
      </c>
      <c r="N233" s="16" t="s">
        <v>1666</v>
      </c>
    </row>
    <row r="234" spans="1:16" s="1" customFormat="1" ht="12">
      <c r="A234" s="64" t="s">
        <v>43</v>
      </c>
      <c r="B234" s="64" t="s">
        <v>1667</v>
      </c>
      <c r="C234" s="19">
        <v>605</v>
      </c>
      <c r="D234" s="19">
        <v>585</v>
      </c>
      <c r="E234" s="19">
        <v>492</v>
      </c>
      <c r="F234" s="19">
        <v>172</v>
      </c>
      <c r="G234" s="19">
        <v>595</v>
      </c>
      <c r="H234" s="19">
        <v>382</v>
      </c>
      <c r="I234" s="101"/>
      <c r="J234" s="17">
        <v>3.63</v>
      </c>
      <c r="K234" s="17">
        <v>6</v>
      </c>
      <c r="L234" s="18">
        <v>0.60499999999999998</v>
      </c>
      <c r="M234" s="19">
        <v>605</v>
      </c>
      <c r="N234" s="22" t="s">
        <v>1668</v>
      </c>
      <c r="O234" s="9"/>
      <c r="P234" s="9"/>
    </row>
    <row r="235" spans="1:16" s="5" customFormat="1" ht="12">
      <c r="A235" s="40" t="s">
        <v>43</v>
      </c>
      <c r="B235" s="40" t="s">
        <v>1670</v>
      </c>
      <c r="C235" s="97">
        <v>3223</v>
      </c>
      <c r="D235" s="97">
        <v>3178</v>
      </c>
      <c r="E235" s="97">
        <v>2728</v>
      </c>
      <c r="F235" s="97">
        <v>849</v>
      </c>
      <c r="G235" s="97">
        <v>3181</v>
      </c>
      <c r="H235" s="97">
        <v>1954</v>
      </c>
      <c r="I235" s="98"/>
      <c r="J235" s="10">
        <f>+K235*L235</f>
        <v>19.338000000000001</v>
      </c>
      <c r="K235" s="11">
        <v>6</v>
      </c>
      <c r="L235" s="12">
        <f>+M235/1000</f>
        <v>3.2229999999999999</v>
      </c>
      <c r="M235" s="13">
        <f>+C235</f>
        <v>3223</v>
      </c>
      <c r="N235" s="16" t="s">
        <v>1671</v>
      </c>
    </row>
    <row r="236" spans="1:16" s="5" customFormat="1" ht="12">
      <c r="A236" s="40" t="s">
        <v>43</v>
      </c>
      <c r="B236" s="40" t="s">
        <v>1674</v>
      </c>
      <c r="C236" s="97">
        <v>4352</v>
      </c>
      <c r="D236" s="97">
        <v>4292</v>
      </c>
      <c r="E236" s="97">
        <v>3858</v>
      </c>
      <c r="F236" s="97">
        <v>1443</v>
      </c>
      <c r="G236" s="97">
        <v>4291</v>
      </c>
      <c r="H236" s="97">
        <v>3185</v>
      </c>
      <c r="I236" s="98"/>
      <c r="J236" s="10">
        <f>+K236*L236</f>
        <v>26.112000000000002</v>
      </c>
      <c r="K236" s="11">
        <v>6</v>
      </c>
      <c r="L236" s="12">
        <f>+M236/1000</f>
        <v>4.3520000000000003</v>
      </c>
      <c r="M236" s="13">
        <f>+C236</f>
        <v>4352</v>
      </c>
      <c r="N236" s="16" t="s">
        <v>1675</v>
      </c>
    </row>
    <row r="237" spans="1:16" s="5" customFormat="1" ht="12">
      <c r="A237" s="64" t="s">
        <v>43</v>
      </c>
      <c r="B237" s="64" t="s">
        <v>1676</v>
      </c>
      <c r="C237" s="19">
        <v>522</v>
      </c>
      <c r="D237" s="19">
        <v>511</v>
      </c>
      <c r="E237" s="19">
        <v>417</v>
      </c>
      <c r="F237" s="19">
        <v>137</v>
      </c>
      <c r="G237" s="19">
        <v>510</v>
      </c>
      <c r="H237" s="19">
        <v>326</v>
      </c>
      <c r="I237" s="101"/>
      <c r="J237" s="17">
        <v>3.1320000000000001</v>
      </c>
      <c r="K237" s="17">
        <v>6</v>
      </c>
      <c r="L237" s="18">
        <v>0.52200000000000002</v>
      </c>
      <c r="M237" s="19">
        <v>522</v>
      </c>
      <c r="N237" s="22" t="s">
        <v>1677</v>
      </c>
      <c r="O237" s="9"/>
      <c r="P237" s="9"/>
    </row>
    <row r="238" spans="1:16" s="5" customFormat="1" ht="12">
      <c r="A238" s="40" t="s">
        <v>43</v>
      </c>
      <c r="B238" s="40" t="s">
        <v>1678</v>
      </c>
      <c r="C238" s="97">
        <v>1928</v>
      </c>
      <c r="D238" s="97">
        <v>1896</v>
      </c>
      <c r="E238" s="97">
        <v>1643</v>
      </c>
      <c r="F238" s="97">
        <v>537</v>
      </c>
      <c r="G238" s="97">
        <v>1898</v>
      </c>
      <c r="H238" s="97">
        <v>1215</v>
      </c>
      <c r="I238" s="98"/>
      <c r="J238" s="10">
        <f>+K238*L238</f>
        <v>11.568</v>
      </c>
      <c r="K238" s="11">
        <v>6</v>
      </c>
      <c r="L238" s="12">
        <f>+M238/1000</f>
        <v>1.9279999999999999</v>
      </c>
      <c r="M238" s="13">
        <f>+C238</f>
        <v>1928</v>
      </c>
      <c r="N238" s="16" t="s">
        <v>1679</v>
      </c>
    </row>
    <row r="239" spans="1:16" s="5" customFormat="1" ht="12">
      <c r="A239" s="64" t="s">
        <v>43</v>
      </c>
      <c r="B239" s="64" t="s">
        <v>1680</v>
      </c>
      <c r="C239" s="19">
        <v>486</v>
      </c>
      <c r="D239" s="19">
        <v>473</v>
      </c>
      <c r="E239" s="19">
        <v>370</v>
      </c>
      <c r="F239" s="19">
        <v>86</v>
      </c>
      <c r="G239" s="19">
        <v>476</v>
      </c>
      <c r="H239" s="19">
        <v>227</v>
      </c>
      <c r="I239" s="101"/>
      <c r="J239" s="17">
        <v>2.9159999999999999</v>
      </c>
      <c r="K239" s="17">
        <v>6</v>
      </c>
      <c r="L239" s="18">
        <v>0.48599999999999999</v>
      </c>
      <c r="M239" s="19">
        <v>486</v>
      </c>
      <c r="N239" s="22" t="s">
        <v>1681</v>
      </c>
      <c r="O239" s="9"/>
      <c r="P239" s="9"/>
    </row>
    <row r="240" spans="1:16" s="5" customFormat="1" ht="12">
      <c r="A240" s="40" t="s">
        <v>43</v>
      </c>
      <c r="B240" s="40" t="s">
        <v>1682</v>
      </c>
      <c r="C240" s="97">
        <v>1580</v>
      </c>
      <c r="D240" s="97">
        <v>1557</v>
      </c>
      <c r="E240" s="97">
        <v>1291</v>
      </c>
      <c r="F240" s="97">
        <v>455</v>
      </c>
      <c r="G240" s="97">
        <v>1556</v>
      </c>
      <c r="H240" s="97">
        <v>994</v>
      </c>
      <c r="I240" s="98"/>
      <c r="J240" s="10">
        <f>+K240*L240</f>
        <v>9.48</v>
      </c>
      <c r="K240" s="11">
        <v>6</v>
      </c>
      <c r="L240" s="12">
        <f>+M240/1000</f>
        <v>1.58</v>
      </c>
      <c r="M240" s="13">
        <f>+C240</f>
        <v>1580</v>
      </c>
      <c r="N240" s="16" t="s">
        <v>1683</v>
      </c>
    </row>
    <row r="241" spans="1:16" s="5" customFormat="1" ht="12">
      <c r="A241" s="40" t="s">
        <v>43</v>
      </c>
      <c r="B241" s="40" t="s">
        <v>1686</v>
      </c>
      <c r="C241" s="97">
        <v>1198</v>
      </c>
      <c r="D241" s="97">
        <v>1179</v>
      </c>
      <c r="E241" s="97">
        <v>1014</v>
      </c>
      <c r="F241" s="97">
        <v>384</v>
      </c>
      <c r="G241" s="97">
        <v>1179</v>
      </c>
      <c r="H241" s="97">
        <v>831</v>
      </c>
      <c r="I241" s="98"/>
      <c r="J241" s="10">
        <f>+K241*L241</f>
        <v>7.1879999999999997</v>
      </c>
      <c r="K241" s="11">
        <v>6</v>
      </c>
      <c r="L241" s="12">
        <f>+M241/1000</f>
        <v>1.198</v>
      </c>
      <c r="M241" s="13">
        <f>+C241</f>
        <v>1198</v>
      </c>
      <c r="N241" s="16" t="s">
        <v>1687</v>
      </c>
    </row>
    <row r="242" spans="1:16" s="5" customFormat="1" ht="12">
      <c r="A242" s="40" t="s">
        <v>43</v>
      </c>
      <c r="B242" s="40" t="s">
        <v>1688</v>
      </c>
      <c r="C242" s="97">
        <v>1212</v>
      </c>
      <c r="D242" s="97">
        <v>1186</v>
      </c>
      <c r="E242" s="97">
        <v>1012</v>
      </c>
      <c r="F242" s="97">
        <v>396</v>
      </c>
      <c r="G242" s="97">
        <v>1189</v>
      </c>
      <c r="H242" s="97">
        <v>815</v>
      </c>
      <c r="I242" s="98"/>
      <c r="J242" s="10">
        <f>+K242*L242</f>
        <v>7.2720000000000002</v>
      </c>
      <c r="K242" s="11">
        <v>6</v>
      </c>
      <c r="L242" s="12">
        <f>+M242/1000</f>
        <v>1.212</v>
      </c>
      <c r="M242" s="13">
        <f>+C242</f>
        <v>1212</v>
      </c>
      <c r="N242" s="16" t="s">
        <v>1689</v>
      </c>
    </row>
    <row r="243" spans="1:16" s="5" customFormat="1" ht="12">
      <c r="A243" s="64" t="s">
        <v>43</v>
      </c>
      <c r="B243" s="64" t="s">
        <v>1690</v>
      </c>
      <c r="C243" s="19">
        <v>478</v>
      </c>
      <c r="D243" s="19">
        <v>462</v>
      </c>
      <c r="E243" s="19">
        <v>389</v>
      </c>
      <c r="F243" s="19">
        <v>120</v>
      </c>
      <c r="G243" s="19">
        <v>475</v>
      </c>
      <c r="H243" s="19">
        <v>277</v>
      </c>
      <c r="I243" s="101"/>
      <c r="J243" s="17">
        <v>2.8679999999999999</v>
      </c>
      <c r="K243" s="17">
        <v>6</v>
      </c>
      <c r="L243" s="18">
        <v>0.47799999999999998</v>
      </c>
      <c r="M243" s="19">
        <v>478</v>
      </c>
      <c r="N243" s="22" t="s">
        <v>1691</v>
      </c>
      <c r="O243" s="9"/>
      <c r="P243" s="9"/>
    </row>
    <row r="244" spans="1:16" s="5" customFormat="1" ht="12">
      <c r="A244" s="40" t="s">
        <v>43</v>
      </c>
      <c r="B244" s="40" t="s">
        <v>1692</v>
      </c>
      <c r="C244" s="97">
        <v>1183</v>
      </c>
      <c r="D244" s="97">
        <v>1155</v>
      </c>
      <c r="E244" s="97">
        <v>963</v>
      </c>
      <c r="F244" s="97">
        <v>280</v>
      </c>
      <c r="G244" s="97">
        <v>1160</v>
      </c>
      <c r="H244" s="97">
        <v>683</v>
      </c>
      <c r="I244" s="98"/>
      <c r="J244" s="10">
        <f>+K244*L244</f>
        <v>7.0980000000000008</v>
      </c>
      <c r="K244" s="11">
        <v>6</v>
      </c>
      <c r="L244" s="12">
        <f>+M244/1000</f>
        <v>1.1830000000000001</v>
      </c>
      <c r="M244" s="13">
        <f>+C244</f>
        <v>1183</v>
      </c>
      <c r="N244" s="16" t="s">
        <v>1693</v>
      </c>
    </row>
    <row r="245" spans="1:16" s="5" customFormat="1" ht="12">
      <c r="A245" s="40" t="s">
        <v>43</v>
      </c>
      <c r="B245" s="40" t="s">
        <v>1695</v>
      </c>
      <c r="C245" s="97">
        <v>2813</v>
      </c>
      <c r="D245" s="97">
        <v>2787</v>
      </c>
      <c r="E245" s="97">
        <v>2380</v>
      </c>
      <c r="F245" s="97">
        <v>596</v>
      </c>
      <c r="G245" s="97">
        <v>2785</v>
      </c>
      <c r="H245" s="97">
        <v>1621</v>
      </c>
      <c r="I245" s="98"/>
      <c r="J245" s="10">
        <f>+K245*L245</f>
        <v>16.878</v>
      </c>
      <c r="K245" s="11">
        <v>6</v>
      </c>
      <c r="L245" s="12">
        <f>+M245/1000</f>
        <v>2.8130000000000002</v>
      </c>
      <c r="M245" s="13">
        <f>+C245</f>
        <v>2813</v>
      </c>
      <c r="N245" s="16" t="s">
        <v>1696</v>
      </c>
    </row>
    <row r="246" spans="1:16" s="5" customFormat="1" ht="12">
      <c r="A246" s="64" t="s">
        <v>43</v>
      </c>
      <c r="B246" s="64" t="s">
        <v>1733</v>
      </c>
      <c r="C246" s="19">
        <v>559</v>
      </c>
      <c r="D246" s="19">
        <v>539</v>
      </c>
      <c r="E246" s="19">
        <v>479</v>
      </c>
      <c r="F246" s="19">
        <v>176</v>
      </c>
      <c r="G246" s="19">
        <v>543</v>
      </c>
      <c r="H246" s="19">
        <v>360</v>
      </c>
      <c r="I246" s="101"/>
      <c r="J246" s="17">
        <v>3.3540000000000001</v>
      </c>
      <c r="K246" s="17">
        <v>6</v>
      </c>
      <c r="L246" s="18">
        <v>0.55900000000000005</v>
      </c>
      <c r="M246" s="19">
        <v>559</v>
      </c>
      <c r="N246" s="22" t="s">
        <v>1734</v>
      </c>
      <c r="O246" s="9"/>
      <c r="P246" s="9"/>
    </row>
    <row r="247" spans="1:16" s="5" customFormat="1" ht="12">
      <c r="A247" s="65" t="s">
        <v>43</v>
      </c>
      <c r="B247" s="74" t="s">
        <v>2087</v>
      </c>
      <c r="C247" s="97">
        <v>3217</v>
      </c>
      <c r="D247" s="97">
        <v>3167</v>
      </c>
      <c r="E247" s="97">
        <v>2850</v>
      </c>
      <c r="F247" s="97">
        <v>967</v>
      </c>
      <c r="G247" s="97">
        <v>3179</v>
      </c>
      <c r="H247" s="97">
        <v>2186</v>
      </c>
      <c r="I247" s="102"/>
      <c r="J247" s="10">
        <f>+K247*L247</f>
        <v>19.302</v>
      </c>
      <c r="K247" s="36">
        <v>6</v>
      </c>
      <c r="L247" s="37">
        <f>+M247/1000</f>
        <v>3.2170000000000001</v>
      </c>
      <c r="M247" s="38">
        <f>+C247</f>
        <v>3217</v>
      </c>
      <c r="N247" s="39" t="s">
        <v>1211</v>
      </c>
      <c r="O247" s="2"/>
      <c r="P247" s="2"/>
    </row>
    <row r="248" spans="1:16" s="5" customFormat="1" ht="12">
      <c r="A248" s="40" t="s">
        <v>43</v>
      </c>
      <c r="B248" s="40" t="s">
        <v>1767</v>
      </c>
      <c r="C248" s="97">
        <v>7580</v>
      </c>
      <c r="D248" s="97">
        <v>7540</v>
      </c>
      <c r="E248" s="97">
        <v>6643</v>
      </c>
      <c r="F248" s="97">
        <v>2192</v>
      </c>
      <c r="G248" s="97">
        <v>7504</v>
      </c>
      <c r="H248" s="97">
        <v>4974</v>
      </c>
      <c r="I248" s="98"/>
      <c r="J248" s="10">
        <f>+K248*L248</f>
        <v>45.480000000000004</v>
      </c>
      <c r="K248" s="11">
        <v>6</v>
      </c>
      <c r="L248" s="12">
        <f>+M248/1000</f>
        <v>7.58</v>
      </c>
      <c r="M248" s="13">
        <f>+C248</f>
        <v>7580</v>
      </c>
      <c r="N248" s="16" t="s">
        <v>1768</v>
      </c>
    </row>
    <row r="249" spans="1:16" s="5" customFormat="1" ht="12">
      <c r="A249" s="64" t="s">
        <v>43</v>
      </c>
      <c r="B249" s="64" t="s">
        <v>1783</v>
      </c>
      <c r="C249" s="19">
        <v>518</v>
      </c>
      <c r="D249" s="19">
        <v>505</v>
      </c>
      <c r="E249" s="19">
        <v>429</v>
      </c>
      <c r="F249" s="19">
        <v>142</v>
      </c>
      <c r="G249" s="19">
        <v>504</v>
      </c>
      <c r="H249" s="19">
        <v>302</v>
      </c>
      <c r="I249" s="101"/>
      <c r="J249" s="17">
        <v>3.1080000000000001</v>
      </c>
      <c r="K249" s="17">
        <v>6</v>
      </c>
      <c r="L249" s="18">
        <v>0.51800000000000002</v>
      </c>
      <c r="M249" s="19">
        <v>518</v>
      </c>
      <c r="N249" s="22" t="s">
        <v>1784</v>
      </c>
      <c r="O249" s="9"/>
      <c r="P249" s="9"/>
    </row>
    <row r="250" spans="1:16" s="5" customFormat="1" ht="12">
      <c r="A250" s="64" t="s">
        <v>43</v>
      </c>
      <c r="B250" s="64" t="s">
        <v>1785</v>
      </c>
      <c r="C250" s="19">
        <v>780</v>
      </c>
      <c r="D250" s="19">
        <v>735</v>
      </c>
      <c r="E250" s="19">
        <v>613</v>
      </c>
      <c r="F250" s="19">
        <v>196</v>
      </c>
      <c r="G250" s="19">
        <v>771</v>
      </c>
      <c r="H250" s="19">
        <v>438</v>
      </c>
      <c r="I250" s="101"/>
      <c r="J250" s="17">
        <v>4.68</v>
      </c>
      <c r="K250" s="17">
        <v>6</v>
      </c>
      <c r="L250" s="18">
        <v>0.78</v>
      </c>
      <c r="M250" s="19">
        <v>780</v>
      </c>
      <c r="N250" s="22" t="s">
        <v>1786</v>
      </c>
      <c r="O250" s="9"/>
      <c r="P250" s="9"/>
    </row>
    <row r="251" spans="1:16" s="5" customFormat="1" ht="12">
      <c r="A251" s="64" t="s">
        <v>43</v>
      </c>
      <c r="B251" s="64" t="s">
        <v>1788</v>
      </c>
      <c r="C251" s="19">
        <v>693</v>
      </c>
      <c r="D251" s="19">
        <v>683</v>
      </c>
      <c r="E251" s="19">
        <v>573</v>
      </c>
      <c r="F251" s="19">
        <v>165</v>
      </c>
      <c r="G251" s="19">
        <v>679</v>
      </c>
      <c r="H251" s="19">
        <v>377</v>
      </c>
      <c r="I251" s="101"/>
      <c r="J251" s="17">
        <v>4.1580000000000004</v>
      </c>
      <c r="K251" s="17">
        <v>6</v>
      </c>
      <c r="L251" s="18">
        <v>0.69299999999999995</v>
      </c>
      <c r="M251" s="19">
        <v>693</v>
      </c>
      <c r="N251" s="22" t="s">
        <v>1789</v>
      </c>
      <c r="O251" s="9"/>
      <c r="P251" s="9"/>
    </row>
    <row r="252" spans="1:16" s="5" customFormat="1" ht="12">
      <c r="A252" s="64" t="s">
        <v>43</v>
      </c>
      <c r="B252" s="64" t="s">
        <v>1795</v>
      </c>
      <c r="C252" s="19">
        <v>829</v>
      </c>
      <c r="D252" s="19">
        <v>818</v>
      </c>
      <c r="E252" s="19">
        <v>711</v>
      </c>
      <c r="F252" s="19">
        <v>248</v>
      </c>
      <c r="G252" s="19">
        <v>821</v>
      </c>
      <c r="H252" s="19">
        <v>541</v>
      </c>
      <c r="I252" s="101"/>
      <c r="J252" s="17">
        <v>4.9740000000000002</v>
      </c>
      <c r="K252" s="17">
        <v>6</v>
      </c>
      <c r="L252" s="18">
        <v>0.82899999999999996</v>
      </c>
      <c r="M252" s="19">
        <v>829</v>
      </c>
      <c r="N252" s="22" t="s">
        <v>1796</v>
      </c>
      <c r="O252" s="9"/>
      <c r="P252" s="9"/>
    </row>
    <row r="253" spans="1:16" s="5" customFormat="1" ht="12">
      <c r="A253" s="64" t="s">
        <v>43</v>
      </c>
      <c r="B253" s="64" t="s">
        <v>1850</v>
      </c>
      <c r="C253" s="19">
        <v>574</v>
      </c>
      <c r="D253" s="19">
        <v>543</v>
      </c>
      <c r="E253" s="19">
        <v>478</v>
      </c>
      <c r="F253" s="19">
        <v>151</v>
      </c>
      <c r="G253" s="19">
        <v>566</v>
      </c>
      <c r="H253" s="19">
        <v>353</v>
      </c>
      <c r="I253" s="101"/>
      <c r="J253" s="17">
        <v>3.444</v>
      </c>
      <c r="K253" s="17">
        <v>6</v>
      </c>
      <c r="L253" s="18">
        <v>0.57399999999999995</v>
      </c>
      <c r="M253" s="19">
        <v>574</v>
      </c>
      <c r="N253" s="22" t="s">
        <v>1851</v>
      </c>
      <c r="O253" s="9"/>
      <c r="P253" s="9"/>
    </row>
    <row r="254" spans="1:16" s="5" customFormat="1" ht="12">
      <c r="A254" s="40" t="s">
        <v>43</v>
      </c>
      <c r="B254" s="40" t="s">
        <v>1858</v>
      </c>
      <c r="C254" s="97">
        <v>3676</v>
      </c>
      <c r="D254" s="97">
        <v>3619</v>
      </c>
      <c r="E254" s="97">
        <v>3171</v>
      </c>
      <c r="F254" s="97">
        <v>1104</v>
      </c>
      <c r="G254" s="97">
        <v>3614</v>
      </c>
      <c r="H254" s="97">
        <v>2468</v>
      </c>
      <c r="I254" s="98"/>
      <c r="J254" s="10">
        <f>+K254*L254</f>
        <v>22.056000000000001</v>
      </c>
      <c r="K254" s="11">
        <v>6</v>
      </c>
      <c r="L254" s="12">
        <f>+M254/1000</f>
        <v>3.6760000000000002</v>
      </c>
      <c r="M254" s="13">
        <f>+C254</f>
        <v>3676</v>
      </c>
      <c r="N254" s="16" t="s">
        <v>1859</v>
      </c>
    </row>
    <row r="255" spans="1:16" s="5" customFormat="1" ht="12">
      <c r="A255" s="40" t="s">
        <v>43</v>
      </c>
      <c r="B255" s="40" t="s">
        <v>1864</v>
      </c>
      <c r="C255" s="97">
        <v>2533</v>
      </c>
      <c r="D255" s="97">
        <v>2500</v>
      </c>
      <c r="E255" s="97">
        <v>2151</v>
      </c>
      <c r="F255" s="97">
        <v>716</v>
      </c>
      <c r="G255" s="97">
        <v>2499</v>
      </c>
      <c r="H255" s="97">
        <v>1614</v>
      </c>
      <c r="I255" s="98"/>
      <c r="J255" s="10">
        <f>+K255*L255</f>
        <v>15.198</v>
      </c>
      <c r="K255" s="11">
        <v>6</v>
      </c>
      <c r="L255" s="12">
        <f>+M255/1000</f>
        <v>2.5329999999999999</v>
      </c>
      <c r="M255" s="13">
        <f>+C255</f>
        <v>2533</v>
      </c>
      <c r="N255" s="16" t="s">
        <v>1865</v>
      </c>
    </row>
    <row r="256" spans="1:16" s="5" customFormat="1" ht="12">
      <c r="A256" s="40" t="s">
        <v>43</v>
      </c>
      <c r="B256" s="40" t="s">
        <v>1866</v>
      </c>
      <c r="C256" s="97">
        <v>1771</v>
      </c>
      <c r="D256" s="97">
        <v>1737</v>
      </c>
      <c r="E256" s="97">
        <v>1497</v>
      </c>
      <c r="F256" s="97">
        <v>503</v>
      </c>
      <c r="G256" s="97">
        <v>1751</v>
      </c>
      <c r="H256" s="97">
        <v>1070</v>
      </c>
      <c r="I256" s="98"/>
      <c r="J256" s="10">
        <f>+K256*L256</f>
        <v>10.625999999999999</v>
      </c>
      <c r="K256" s="11">
        <v>6</v>
      </c>
      <c r="L256" s="12">
        <f>+M256/1000</f>
        <v>1.7709999999999999</v>
      </c>
      <c r="M256" s="13">
        <f>+C256</f>
        <v>1771</v>
      </c>
      <c r="N256" s="16" t="s">
        <v>1867</v>
      </c>
    </row>
    <row r="257" spans="1:16" s="5" customFormat="1" ht="12">
      <c r="A257" s="64" t="s">
        <v>43</v>
      </c>
      <c r="B257" s="64" t="s">
        <v>1871</v>
      </c>
      <c r="C257" s="19">
        <v>466</v>
      </c>
      <c r="D257" s="19">
        <v>455</v>
      </c>
      <c r="E257" s="19">
        <v>380</v>
      </c>
      <c r="F257" s="19">
        <v>90</v>
      </c>
      <c r="G257" s="19">
        <v>460</v>
      </c>
      <c r="H257" s="19">
        <v>238</v>
      </c>
      <c r="I257" s="101"/>
      <c r="J257" s="17">
        <v>2.7959999999999998</v>
      </c>
      <c r="K257" s="17">
        <v>6</v>
      </c>
      <c r="L257" s="18">
        <v>0.46600000000000003</v>
      </c>
      <c r="M257" s="19">
        <v>466</v>
      </c>
      <c r="N257" s="22" t="s">
        <v>1872</v>
      </c>
      <c r="O257" s="9"/>
      <c r="P257" s="9"/>
    </row>
    <row r="258" spans="1:16" s="5" customFormat="1" ht="12">
      <c r="A258" s="40" t="s">
        <v>43</v>
      </c>
      <c r="B258" s="40" t="s">
        <v>1873</v>
      </c>
      <c r="C258" s="97">
        <v>3753</v>
      </c>
      <c r="D258" s="97">
        <v>3703</v>
      </c>
      <c r="E258" s="97">
        <v>3290</v>
      </c>
      <c r="F258" s="97">
        <v>1142</v>
      </c>
      <c r="G258" s="97">
        <v>3714</v>
      </c>
      <c r="H258" s="97">
        <v>2585</v>
      </c>
      <c r="I258" s="98"/>
      <c r="J258" s="10">
        <f>+K258*L258</f>
        <v>22.518000000000001</v>
      </c>
      <c r="K258" s="11">
        <v>6</v>
      </c>
      <c r="L258" s="12">
        <f>+M258/1000</f>
        <v>3.7530000000000001</v>
      </c>
      <c r="M258" s="13">
        <f>+C258</f>
        <v>3753</v>
      </c>
      <c r="N258" s="16" t="s">
        <v>1874</v>
      </c>
    </row>
    <row r="259" spans="1:16" s="5" customFormat="1" ht="12">
      <c r="A259" s="64" t="s">
        <v>43</v>
      </c>
      <c r="B259" s="64" t="s">
        <v>1875</v>
      </c>
      <c r="C259" s="19">
        <v>632</v>
      </c>
      <c r="D259" s="19">
        <v>617</v>
      </c>
      <c r="E259" s="19">
        <v>517</v>
      </c>
      <c r="F259" s="19">
        <v>192</v>
      </c>
      <c r="G259" s="19">
        <v>618</v>
      </c>
      <c r="H259" s="19">
        <v>396</v>
      </c>
      <c r="I259" s="101"/>
      <c r="J259" s="17">
        <v>3.7919999999999998</v>
      </c>
      <c r="K259" s="17">
        <v>6</v>
      </c>
      <c r="L259" s="18">
        <v>0.63200000000000001</v>
      </c>
      <c r="M259" s="19">
        <v>632</v>
      </c>
      <c r="N259" s="22" t="s">
        <v>1876</v>
      </c>
      <c r="O259" s="9"/>
      <c r="P259" s="9"/>
    </row>
    <row r="260" spans="1:16" s="5" customFormat="1" ht="12">
      <c r="A260" s="40" t="s">
        <v>43</v>
      </c>
      <c r="B260" s="40" t="s">
        <v>1877</v>
      </c>
      <c r="C260" s="97">
        <v>1233</v>
      </c>
      <c r="D260" s="97">
        <v>1219</v>
      </c>
      <c r="E260" s="97">
        <v>1042</v>
      </c>
      <c r="F260" s="97">
        <v>341</v>
      </c>
      <c r="G260" s="97">
        <v>1210</v>
      </c>
      <c r="H260" s="97">
        <v>761</v>
      </c>
      <c r="I260" s="98"/>
      <c r="J260" s="10">
        <f t="shared" ref="J260:J291" si="18">+K260*L260</f>
        <v>7.3980000000000006</v>
      </c>
      <c r="K260" s="11">
        <v>6</v>
      </c>
      <c r="L260" s="12">
        <f t="shared" ref="L260:L291" si="19">+M260/1000</f>
        <v>1.2330000000000001</v>
      </c>
      <c r="M260" s="13">
        <f t="shared" ref="M260:M291" si="20">+C260</f>
        <v>1233</v>
      </c>
      <c r="N260" s="16" t="s">
        <v>1878</v>
      </c>
    </row>
    <row r="261" spans="1:16" s="5" customFormat="1" ht="12">
      <c r="A261" s="40" t="s">
        <v>81</v>
      </c>
      <c r="B261" s="40" t="s">
        <v>82</v>
      </c>
      <c r="C261" s="97">
        <v>337</v>
      </c>
      <c r="D261" s="97">
        <v>309</v>
      </c>
      <c r="E261" s="97">
        <v>181</v>
      </c>
      <c r="F261" s="97">
        <v>98</v>
      </c>
      <c r="G261" s="97">
        <v>305</v>
      </c>
      <c r="H261" s="97">
        <v>174</v>
      </c>
      <c r="I261" s="98"/>
      <c r="J261" s="10">
        <f t="shared" si="18"/>
        <v>2.0220000000000002</v>
      </c>
      <c r="K261" s="11">
        <v>6</v>
      </c>
      <c r="L261" s="12">
        <f t="shared" si="19"/>
        <v>0.33700000000000002</v>
      </c>
      <c r="M261" s="13">
        <f t="shared" si="20"/>
        <v>337</v>
      </c>
      <c r="N261" s="14" t="s">
        <v>83</v>
      </c>
    </row>
    <row r="262" spans="1:16" s="5" customFormat="1" ht="12">
      <c r="A262" s="40" t="s">
        <v>81</v>
      </c>
      <c r="B262" s="40" t="s">
        <v>300</v>
      </c>
      <c r="C262" s="97">
        <v>2623</v>
      </c>
      <c r="D262" s="97">
        <v>2581</v>
      </c>
      <c r="E262" s="97">
        <v>2084</v>
      </c>
      <c r="F262" s="97">
        <v>678</v>
      </c>
      <c r="G262" s="97">
        <v>2525</v>
      </c>
      <c r="H262" s="97">
        <v>1426</v>
      </c>
      <c r="I262" s="98"/>
      <c r="J262" s="10">
        <f t="shared" si="18"/>
        <v>15.738000000000001</v>
      </c>
      <c r="K262" s="11">
        <v>6</v>
      </c>
      <c r="L262" s="12">
        <f t="shared" si="19"/>
        <v>2.6230000000000002</v>
      </c>
      <c r="M262" s="13">
        <f t="shared" si="20"/>
        <v>2623</v>
      </c>
      <c r="N262" s="16" t="s">
        <v>301</v>
      </c>
    </row>
    <row r="263" spans="1:16" s="5" customFormat="1" ht="12">
      <c r="A263" s="40" t="s">
        <v>81</v>
      </c>
      <c r="B263" s="40" t="s">
        <v>81</v>
      </c>
      <c r="C263" s="97">
        <v>12316</v>
      </c>
      <c r="D263" s="97">
        <v>12119</v>
      </c>
      <c r="E263" s="97">
        <v>10267</v>
      </c>
      <c r="F263" s="97">
        <v>3687</v>
      </c>
      <c r="G263" s="97">
        <v>12057</v>
      </c>
      <c r="H263" s="97">
        <v>7526</v>
      </c>
      <c r="I263" s="98"/>
      <c r="J263" s="10">
        <f t="shared" si="18"/>
        <v>61.580000000000005</v>
      </c>
      <c r="K263" s="11">
        <v>5</v>
      </c>
      <c r="L263" s="12">
        <f t="shared" si="19"/>
        <v>12.316000000000001</v>
      </c>
      <c r="M263" s="13">
        <f t="shared" si="20"/>
        <v>12316</v>
      </c>
      <c r="N263" s="16" t="s">
        <v>561</v>
      </c>
    </row>
    <row r="264" spans="1:16" s="5" customFormat="1" ht="12">
      <c r="A264" s="40" t="s">
        <v>355</v>
      </c>
      <c r="B264" s="40" t="s">
        <v>355</v>
      </c>
      <c r="C264" s="97">
        <v>4947</v>
      </c>
      <c r="D264" s="97">
        <v>4907</v>
      </c>
      <c r="E264" s="97">
        <v>4202</v>
      </c>
      <c r="F264" s="97">
        <v>1386</v>
      </c>
      <c r="G264" s="97">
        <v>4809</v>
      </c>
      <c r="H264" s="97">
        <v>3163</v>
      </c>
      <c r="I264" s="98"/>
      <c r="J264" s="10">
        <f t="shared" si="18"/>
        <v>29.682000000000002</v>
      </c>
      <c r="K264" s="11">
        <v>6</v>
      </c>
      <c r="L264" s="12">
        <f t="shared" si="19"/>
        <v>4.9470000000000001</v>
      </c>
      <c r="M264" s="13">
        <f t="shared" si="20"/>
        <v>4947</v>
      </c>
      <c r="N264" s="16" t="s">
        <v>577</v>
      </c>
    </row>
    <row r="265" spans="1:16" s="5" customFormat="1" ht="12">
      <c r="A265" s="40" t="s">
        <v>355</v>
      </c>
      <c r="B265" s="40" t="s">
        <v>1410</v>
      </c>
      <c r="C265" s="97">
        <v>1449</v>
      </c>
      <c r="D265" s="97">
        <v>1413</v>
      </c>
      <c r="E265" s="97">
        <v>1183</v>
      </c>
      <c r="F265" s="97">
        <v>291</v>
      </c>
      <c r="G265" s="97">
        <v>1412</v>
      </c>
      <c r="H265" s="97">
        <v>725</v>
      </c>
      <c r="I265" s="98"/>
      <c r="J265" s="10">
        <f t="shared" si="18"/>
        <v>8.6940000000000008</v>
      </c>
      <c r="K265" s="11">
        <v>6</v>
      </c>
      <c r="L265" s="12">
        <f t="shared" si="19"/>
        <v>1.4490000000000001</v>
      </c>
      <c r="M265" s="13">
        <f t="shared" si="20"/>
        <v>1449</v>
      </c>
      <c r="N265" s="16" t="s">
        <v>1411</v>
      </c>
    </row>
    <row r="266" spans="1:16" s="5" customFormat="1" ht="12">
      <c r="A266" s="40" t="s">
        <v>355</v>
      </c>
      <c r="B266" s="40" t="s">
        <v>1513</v>
      </c>
      <c r="C266" s="97">
        <v>3080</v>
      </c>
      <c r="D266" s="97">
        <v>3022</v>
      </c>
      <c r="E266" s="97">
        <v>2603</v>
      </c>
      <c r="F266" s="97">
        <v>860</v>
      </c>
      <c r="G266" s="97">
        <v>3015</v>
      </c>
      <c r="H266" s="97">
        <v>1823</v>
      </c>
      <c r="I266" s="98"/>
      <c r="J266" s="10">
        <f t="shared" si="18"/>
        <v>18.48</v>
      </c>
      <c r="K266" s="11">
        <v>6</v>
      </c>
      <c r="L266" s="12">
        <f t="shared" si="19"/>
        <v>3.08</v>
      </c>
      <c r="M266" s="13">
        <f t="shared" si="20"/>
        <v>3080</v>
      </c>
      <c r="N266" s="16" t="s">
        <v>1514</v>
      </c>
    </row>
    <row r="267" spans="1:16" s="5" customFormat="1" ht="12">
      <c r="A267" s="40" t="s">
        <v>144</v>
      </c>
      <c r="B267" s="40" t="s">
        <v>196</v>
      </c>
      <c r="C267" s="97">
        <v>6131</v>
      </c>
      <c r="D267" s="97">
        <v>5911</v>
      </c>
      <c r="E267" s="97">
        <v>4875</v>
      </c>
      <c r="F267" s="97">
        <v>1628</v>
      </c>
      <c r="G267" s="97">
        <v>5967</v>
      </c>
      <c r="H267" s="97">
        <v>3467</v>
      </c>
      <c r="I267" s="98"/>
      <c r="J267" s="10">
        <f t="shared" si="18"/>
        <v>36.786000000000001</v>
      </c>
      <c r="K267" s="11">
        <v>6</v>
      </c>
      <c r="L267" s="12">
        <f t="shared" si="19"/>
        <v>6.1310000000000002</v>
      </c>
      <c r="M267" s="13">
        <f t="shared" si="20"/>
        <v>6131</v>
      </c>
      <c r="N267" s="16" t="s">
        <v>197</v>
      </c>
    </row>
    <row r="268" spans="1:16" s="5" customFormat="1" ht="12">
      <c r="A268" s="40" t="s">
        <v>144</v>
      </c>
      <c r="B268" s="40" t="s">
        <v>144</v>
      </c>
      <c r="C268" s="97">
        <v>6338</v>
      </c>
      <c r="D268" s="97">
        <v>6264</v>
      </c>
      <c r="E268" s="97">
        <v>5234</v>
      </c>
      <c r="F268" s="97">
        <v>1640</v>
      </c>
      <c r="G268" s="97">
        <v>6224</v>
      </c>
      <c r="H268" s="97">
        <v>3786</v>
      </c>
      <c r="I268" s="98"/>
      <c r="J268" s="10">
        <f t="shared" si="18"/>
        <v>38.027999999999999</v>
      </c>
      <c r="K268" s="11">
        <v>6</v>
      </c>
      <c r="L268" s="12">
        <f t="shared" si="19"/>
        <v>6.3380000000000001</v>
      </c>
      <c r="M268" s="13">
        <f t="shared" si="20"/>
        <v>6338</v>
      </c>
      <c r="N268" s="16" t="s">
        <v>581</v>
      </c>
    </row>
    <row r="269" spans="1:16" s="5" customFormat="1" ht="12">
      <c r="A269" s="40" t="s">
        <v>369</v>
      </c>
      <c r="B269" s="40" t="s">
        <v>1709</v>
      </c>
      <c r="C269" s="97">
        <v>11662</v>
      </c>
      <c r="D269" s="97">
        <v>11533</v>
      </c>
      <c r="E269" s="97">
        <v>9994</v>
      </c>
      <c r="F269" s="97">
        <v>3474</v>
      </c>
      <c r="G269" s="97">
        <v>11433</v>
      </c>
      <c r="H269" s="97">
        <v>7540</v>
      </c>
      <c r="I269" s="98"/>
      <c r="J269" s="10">
        <f t="shared" si="18"/>
        <v>58.31</v>
      </c>
      <c r="K269" s="11">
        <v>5</v>
      </c>
      <c r="L269" s="12">
        <f t="shared" si="19"/>
        <v>11.662000000000001</v>
      </c>
      <c r="M269" s="13">
        <f t="shared" si="20"/>
        <v>11662</v>
      </c>
      <c r="N269" s="16" t="s">
        <v>1710</v>
      </c>
    </row>
    <row r="270" spans="1:16" s="5" customFormat="1" ht="12">
      <c r="A270" s="40" t="s">
        <v>369</v>
      </c>
      <c r="B270" s="40" t="s">
        <v>1805</v>
      </c>
      <c r="C270" s="97">
        <v>3962</v>
      </c>
      <c r="D270" s="97">
        <v>3884</v>
      </c>
      <c r="E270" s="97">
        <v>3263</v>
      </c>
      <c r="F270" s="97">
        <v>904</v>
      </c>
      <c r="G270" s="97">
        <v>3860</v>
      </c>
      <c r="H270" s="97">
        <v>2244</v>
      </c>
      <c r="I270" s="98"/>
      <c r="J270" s="10">
        <f t="shared" si="18"/>
        <v>23.772000000000002</v>
      </c>
      <c r="K270" s="11">
        <v>6</v>
      </c>
      <c r="L270" s="12">
        <f t="shared" si="19"/>
        <v>3.9620000000000002</v>
      </c>
      <c r="M270" s="13">
        <f t="shared" si="20"/>
        <v>3962</v>
      </c>
      <c r="N270" s="16" t="s">
        <v>1806</v>
      </c>
    </row>
    <row r="271" spans="1:16" s="5" customFormat="1" ht="12">
      <c r="A271" s="40" t="s">
        <v>146</v>
      </c>
      <c r="B271" s="40" t="s">
        <v>1943</v>
      </c>
      <c r="C271" s="97">
        <v>1781</v>
      </c>
      <c r="D271" s="97">
        <v>1766</v>
      </c>
      <c r="E271" s="97">
        <v>1440</v>
      </c>
      <c r="F271" s="97">
        <v>483</v>
      </c>
      <c r="G271" s="97">
        <v>1726</v>
      </c>
      <c r="H271" s="97">
        <v>1062</v>
      </c>
      <c r="I271" s="98"/>
      <c r="J271" s="10">
        <f t="shared" si="18"/>
        <v>10.686</v>
      </c>
      <c r="K271" s="11">
        <v>6</v>
      </c>
      <c r="L271" s="12">
        <f t="shared" si="19"/>
        <v>1.7809999999999999</v>
      </c>
      <c r="M271" s="13">
        <f t="shared" si="20"/>
        <v>1781</v>
      </c>
      <c r="N271" s="16" t="s">
        <v>220</v>
      </c>
    </row>
    <row r="272" spans="1:16" s="5" customFormat="1" ht="12">
      <c r="A272" s="40" t="s">
        <v>146</v>
      </c>
      <c r="B272" s="40" t="s">
        <v>146</v>
      </c>
      <c r="C272" s="97">
        <v>11791</v>
      </c>
      <c r="D272" s="97">
        <v>11703</v>
      </c>
      <c r="E272" s="97">
        <v>10033</v>
      </c>
      <c r="F272" s="97">
        <v>3523</v>
      </c>
      <c r="G272" s="97">
        <v>11606</v>
      </c>
      <c r="H272" s="97">
        <v>7596</v>
      </c>
      <c r="I272" s="98"/>
      <c r="J272" s="10">
        <f t="shared" si="18"/>
        <v>58.954999999999998</v>
      </c>
      <c r="K272" s="11">
        <v>5</v>
      </c>
      <c r="L272" s="12">
        <f t="shared" si="19"/>
        <v>11.791</v>
      </c>
      <c r="M272" s="13">
        <f t="shared" si="20"/>
        <v>11791</v>
      </c>
      <c r="N272" s="16" t="s">
        <v>707</v>
      </c>
    </row>
    <row r="273" spans="1:14" s="5" customFormat="1" ht="12">
      <c r="A273" s="40" t="s">
        <v>146</v>
      </c>
      <c r="B273" s="40" t="s">
        <v>1946</v>
      </c>
      <c r="C273" s="97">
        <v>2976</v>
      </c>
      <c r="D273" s="97">
        <v>2939</v>
      </c>
      <c r="E273" s="97">
        <v>2506</v>
      </c>
      <c r="F273" s="97">
        <v>755</v>
      </c>
      <c r="G273" s="97">
        <v>2936</v>
      </c>
      <c r="H273" s="97">
        <v>1771</v>
      </c>
      <c r="I273" s="98"/>
      <c r="J273" s="10">
        <f t="shared" si="18"/>
        <v>17.856000000000002</v>
      </c>
      <c r="K273" s="11">
        <v>6</v>
      </c>
      <c r="L273" s="12">
        <f t="shared" si="19"/>
        <v>2.976</v>
      </c>
      <c r="M273" s="13">
        <f t="shared" si="20"/>
        <v>2976</v>
      </c>
      <c r="N273" s="16" t="s">
        <v>1863</v>
      </c>
    </row>
    <row r="274" spans="1:14" s="5" customFormat="1" ht="12">
      <c r="A274" s="40" t="s">
        <v>165</v>
      </c>
      <c r="B274" s="40" t="s">
        <v>166</v>
      </c>
      <c r="C274" s="97">
        <v>2118</v>
      </c>
      <c r="D274" s="97">
        <v>2093</v>
      </c>
      <c r="E274" s="97">
        <v>1743</v>
      </c>
      <c r="F274" s="97">
        <v>601</v>
      </c>
      <c r="G274" s="97">
        <v>2029</v>
      </c>
      <c r="H274" s="97">
        <v>1223</v>
      </c>
      <c r="I274" s="98"/>
      <c r="J274" s="10">
        <f t="shared" si="18"/>
        <v>12.707999999999998</v>
      </c>
      <c r="K274" s="11">
        <v>6</v>
      </c>
      <c r="L274" s="12">
        <f t="shared" si="19"/>
        <v>2.1179999999999999</v>
      </c>
      <c r="M274" s="13">
        <f t="shared" si="20"/>
        <v>2118</v>
      </c>
      <c r="N274" s="16" t="s">
        <v>167</v>
      </c>
    </row>
    <row r="275" spans="1:14" s="5" customFormat="1" ht="12">
      <c r="A275" s="40" t="s">
        <v>165</v>
      </c>
      <c r="B275" s="40" t="s">
        <v>165</v>
      </c>
      <c r="C275" s="97">
        <v>5142</v>
      </c>
      <c r="D275" s="97">
        <v>5026</v>
      </c>
      <c r="E275" s="97">
        <v>4225</v>
      </c>
      <c r="F275" s="97">
        <v>1486</v>
      </c>
      <c r="G275" s="97">
        <v>4981</v>
      </c>
      <c r="H275" s="97">
        <v>3176</v>
      </c>
      <c r="I275" s="98"/>
      <c r="J275" s="10">
        <f t="shared" si="18"/>
        <v>30.852000000000004</v>
      </c>
      <c r="K275" s="11">
        <v>6</v>
      </c>
      <c r="L275" s="12">
        <f t="shared" si="19"/>
        <v>5.1420000000000003</v>
      </c>
      <c r="M275" s="13">
        <f t="shared" si="20"/>
        <v>5142</v>
      </c>
      <c r="N275" s="16" t="s">
        <v>756</v>
      </c>
    </row>
    <row r="276" spans="1:14" s="5" customFormat="1" ht="12">
      <c r="A276" s="40" t="s">
        <v>165</v>
      </c>
      <c r="B276" s="40" t="s">
        <v>1570</v>
      </c>
      <c r="C276" s="97">
        <v>1852</v>
      </c>
      <c r="D276" s="97">
        <v>1824</v>
      </c>
      <c r="E276" s="97">
        <v>1442</v>
      </c>
      <c r="F276" s="97">
        <v>432</v>
      </c>
      <c r="G276" s="97">
        <v>1811</v>
      </c>
      <c r="H276" s="97">
        <v>954</v>
      </c>
      <c r="I276" s="98"/>
      <c r="J276" s="10">
        <f t="shared" si="18"/>
        <v>11.112</v>
      </c>
      <c r="K276" s="11">
        <v>6</v>
      </c>
      <c r="L276" s="12">
        <f t="shared" si="19"/>
        <v>1.8520000000000001</v>
      </c>
      <c r="M276" s="13">
        <f t="shared" si="20"/>
        <v>1852</v>
      </c>
      <c r="N276" s="16" t="s">
        <v>1571</v>
      </c>
    </row>
    <row r="277" spans="1:14" s="5" customFormat="1" ht="12">
      <c r="A277" s="40" t="s">
        <v>165</v>
      </c>
      <c r="B277" s="40" t="s">
        <v>1781</v>
      </c>
      <c r="C277" s="97">
        <v>2142</v>
      </c>
      <c r="D277" s="97">
        <v>2103</v>
      </c>
      <c r="E277" s="97">
        <v>1825</v>
      </c>
      <c r="F277" s="97">
        <v>566</v>
      </c>
      <c r="G277" s="97">
        <v>2105</v>
      </c>
      <c r="H277" s="97">
        <v>1290</v>
      </c>
      <c r="I277" s="98"/>
      <c r="J277" s="10">
        <f t="shared" si="18"/>
        <v>12.852</v>
      </c>
      <c r="K277" s="11">
        <v>6</v>
      </c>
      <c r="L277" s="12">
        <f t="shared" si="19"/>
        <v>2.1419999999999999</v>
      </c>
      <c r="M277" s="13">
        <f t="shared" si="20"/>
        <v>2142</v>
      </c>
      <c r="N277" s="16" t="s">
        <v>1782</v>
      </c>
    </row>
    <row r="278" spans="1:14" s="5" customFormat="1" ht="12">
      <c r="A278" s="40" t="s">
        <v>165</v>
      </c>
      <c r="B278" s="40" t="s">
        <v>1839</v>
      </c>
      <c r="C278" s="97">
        <v>1966</v>
      </c>
      <c r="D278" s="97">
        <v>1938</v>
      </c>
      <c r="E278" s="97">
        <v>1688</v>
      </c>
      <c r="F278" s="97">
        <v>529</v>
      </c>
      <c r="G278" s="97">
        <v>1936</v>
      </c>
      <c r="H278" s="97">
        <v>1133</v>
      </c>
      <c r="I278" s="98"/>
      <c r="J278" s="10">
        <f t="shared" si="18"/>
        <v>11.795999999999999</v>
      </c>
      <c r="K278" s="11">
        <v>6</v>
      </c>
      <c r="L278" s="12">
        <f t="shared" si="19"/>
        <v>1.966</v>
      </c>
      <c r="M278" s="13">
        <f t="shared" si="20"/>
        <v>1966</v>
      </c>
      <c r="N278" s="16" t="s">
        <v>1840</v>
      </c>
    </row>
    <row r="279" spans="1:14" s="5" customFormat="1" ht="12">
      <c r="A279" s="40" t="s">
        <v>37</v>
      </c>
      <c r="B279" s="40" t="s">
        <v>1979</v>
      </c>
      <c r="C279" s="97">
        <v>2095</v>
      </c>
      <c r="D279" s="97">
        <v>2068</v>
      </c>
      <c r="E279" s="97">
        <v>1785</v>
      </c>
      <c r="F279" s="97">
        <v>574</v>
      </c>
      <c r="G279" s="97">
        <v>2047</v>
      </c>
      <c r="H279" s="97">
        <v>1286</v>
      </c>
      <c r="I279" s="98"/>
      <c r="J279" s="10">
        <f t="shared" si="18"/>
        <v>12.57</v>
      </c>
      <c r="K279" s="11">
        <v>6</v>
      </c>
      <c r="L279" s="12">
        <f t="shared" si="19"/>
        <v>2.0950000000000002</v>
      </c>
      <c r="M279" s="13">
        <f t="shared" si="20"/>
        <v>2095</v>
      </c>
      <c r="N279" s="14" t="s">
        <v>38</v>
      </c>
    </row>
    <row r="280" spans="1:14" s="5" customFormat="1" ht="12">
      <c r="A280" s="40" t="s">
        <v>37</v>
      </c>
      <c r="B280" s="40" t="s">
        <v>37</v>
      </c>
      <c r="C280" s="97">
        <v>10826</v>
      </c>
      <c r="D280" s="97">
        <v>10759</v>
      </c>
      <c r="E280" s="97">
        <v>9144</v>
      </c>
      <c r="F280" s="97">
        <v>3003</v>
      </c>
      <c r="G280" s="97">
        <v>10643</v>
      </c>
      <c r="H280" s="97">
        <v>6504</v>
      </c>
      <c r="I280" s="98"/>
      <c r="J280" s="10">
        <f t="shared" si="18"/>
        <v>54.13</v>
      </c>
      <c r="K280" s="11">
        <v>5</v>
      </c>
      <c r="L280" s="12">
        <f t="shared" si="19"/>
        <v>10.826000000000001</v>
      </c>
      <c r="M280" s="13">
        <f t="shared" si="20"/>
        <v>10826</v>
      </c>
      <c r="N280" s="16" t="s">
        <v>785</v>
      </c>
    </row>
    <row r="281" spans="1:14" s="5" customFormat="1" ht="12">
      <c r="A281" s="40" t="s">
        <v>814</v>
      </c>
      <c r="B281" s="40" t="s">
        <v>814</v>
      </c>
      <c r="C281" s="97">
        <v>4219</v>
      </c>
      <c r="D281" s="97">
        <v>4123</v>
      </c>
      <c r="E281" s="97">
        <v>3335</v>
      </c>
      <c r="F281" s="97">
        <v>1106</v>
      </c>
      <c r="G281" s="97">
        <v>4087</v>
      </c>
      <c r="H281" s="97">
        <v>2331</v>
      </c>
      <c r="I281" s="98"/>
      <c r="J281" s="10">
        <f t="shared" si="18"/>
        <v>25.314</v>
      </c>
      <c r="K281" s="11">
        <v>6</v>
      </c>
      <c r="L281" s="12">
        <f t="shared" si="19"/>
        <v>4.2190000000000003</v>
      </c>
      <c r="M281" s="13">
        <f t="shared" si="20"/>
        <v>4219</v>
      </c>
      <c r="N281" s="16" t="s">
        <v>815</v>
      </c>
    </row>
    <row r="282" spans="1:14" s="5" customFormat="1" ht="12">
      <c r="A282" s="40" t="s">
        <v>1983</v>
      </c>
      <c r="B282" s="40" t="s">
        <v>420</v>
      </c>
      <c r="C282" s="97">
        <v>1700</v>
      </c>
      <c r="D282" s="97">
        <v>1668</v>
      </c>
      <c r="E282" s="97">
        <v>1410</v>
      </c>
      <c r="F282" s="97">
        <v>437</v>
      </c>
      <c r="G282" s="97">
        <v>1633</v>
      </c>
      <c r="H282" s="97">
        <v>1071</v>
      </c>
      <c r="I282" s="98"/>
      <c r="J282" s="10">
        <f t="shared" si="18"/>
        <v>10.199999999999999</v>
      </c>
      <c r="K282" s="11">
        <v>6</v>
      </c>
      <c r="L282" s="12">
        <f t="shared" si="19"/>
        <v>1.7</v>
      </c>
      <c r="M282" s="13">
        <f t="shared" si="20"/>
        <v>1700</v>
      </c>
      <c r="N282" s="16" t="s">
        <v>421</v>
      </c>
    </row>
    <row r="283" spans="1:14" s="5" customFormat="1" ht="12">
      <c r="A283" s="40" t="s">
        <v>1983</v>
      </c>
      <c r="B283" s="40" t="s">
        <v>519</v>
      </c>
      <c r="C283" s="97">
        <v>2753</v>
      </c>
      <c r="D283" s="97">
        <v>2715</v>
      </c>
      <c r="E283" s="97">
        <v>2358</v>
      </c>
      <c r="F283" s="97">
        <v>674</v>
      </c>
      <c r="G283" s="97">
        <v>2733</v>
      </c>
      <c r="H283" s="97">
        <v>1734</v>
      </c>
      <c r="I283" s="98"/>
      <c r="J283" s="10">
        <f t="shared" si="18"/>
        <v>16.518000000000001</v>
      </c>
      <c r="K283" s="11">
        <v>6</v>
      </c>
      <c r="L283" s="12">
        <f t="shared" si="19"/>
        <v>2.7530000000000001</v>
      </c>
      <c r="M283" s="13">
        <f t="shared" si="20"/>
        <v>2753</v>
      </c>
      <c r="N283" s="16" t="s">
        <v>520</v>
      </c>
    </row>
    <row r="284" spans="1:14" s="5" customFormat="1" ht="12">
      <c r="A284" s="40" t="s">
        <v>1983</v>
      </c>
      <c r="B284" s="40" t="s">
        <v>660</v>
      </c>
      <c r="C284" s="97">
        <v>3198</v>
      </c>
      <c r="D284" s="97">
        <v>3163</v>
      </c>
      <c r="E284" s="97">
        <v>2620</v>
      </c>
      <c r="F284" s="97">
        <v>813</v>
      </c>
      <c r="G284" s="97">
        <v>3154</v>
      </c>
      <c r="H284" s="97">
        <v>1934</v>
      </c>
      <c r="I284" s="98"/>
      <c r="J284" s="10">
        <f t="shared" si="18"/>
        <v>19.187999999999999</v>
      </c>
      <c r="K284" s="11">
        <v>6</v>
      </c>
      <c r="L284" s="12">
        <f t="shared" si="19"/>
        <v>3.198</v>
      </c>
      <c r="M284" s="13">
        <f t="shared" si="20"/>
        <v>3198</v>
      </c>
      <c r="N284" s="16" t="s">
        <v>661</v>
      </c>
    </row>
    <row r="285" spans="1:14" s="5" customFormat="1" ht="12">
      <c r="A285" s="40" t="s">
        <v>1983</v>
      </c>
      <c r="B285" s="40" t="s">
        <v>663</v>
      </c>
      <c r="C285" s="97">
        <v>2064</v>
      </c>
      <c r="D285" s="97">
        <v>2026</v>
      </c>
      <c r="E285" s="97">
        <v>1674</v>
      </c>
      <c r="F285" s="97">
        <v>516</v>
      </c>
      <c r="G285" s="97">
        <v>2029</v>
      </c>
      <c r="H285" s="97">
        <v>1204</v>
      </c>
      <c r="I285" s="98"/>
      <c r="J285" s="10">
        <f t="shared" si="18"/>
        <v>12.384</v>
      </c>
      <c r="K285" s="11">
        <v>6</v>
      </c>
      <c r="L285" s="12">
        <f t="shared" si="19"/>
        <v>2.0640000000000001</v>
      </c>
      <c r="M285" s="13">
        <f t="shared" si="20"/>
        <v>2064</v>
      </c>
      <c r="N285" s="16" t="s">
        <v>664</v>
      </c>
    </row>
    <row r="286" spans="1:14" s="5" customFormat="1" ht="12">
      <c r="A286" s="40" t="s">
        <v>1983</v>
      </c>
      <c r="B286" s="40" t="s">
        <v>751</v>
      </c>
      <c r="C286" s="97">
        <v>1441</v>
      </c>
      <c r="D286" s="97">
        <v>1424</v>
      </c>
      <c r="E286" s="97">
        <v>1122</v>
      </c>
      <c r="F286" s="97">
        <v>388</v>
      </c>
      <c r="G286" s="97">
        <v>1408</v>
      </c>
      <c r="H286" s="97">
        <v>846</v>
      </c>
      <c r="I286" s="98"/>
      <c r="J286" s="10">
        <f t="shared" si="18"/>
        <v>8.6460000000000008</v>
      </c>
      <c r="K286" s="11">
        <v>6</v>
      </c>
      <c r="L286" s="12">
        <f t="shared" si="19"/>
        <v>1.4410000000000001</v>
      </c>
      <c r="M286" s="13">
        <f t="shared" si="20"/>
        <v>1441</v>
      </c>
      <c r="N286" s="16" t="s">
        <v>752</v>
      </c>
    </row>
    <row r="287" spans="1:14" s="5" customFormat="1" ht="12">
      <c r="A287" s="40" t="s">
        <v>1983</v>
      </c>
      <c r="B287" s="40" t="s">
        <v>943</v>
      </c>
      <c r="C287" s="97">
        <v>3844</v>
      </c>
      <c r="D287" s="97">
        <v>3780</v>
      </c>
      <c r="E287" s="97">
        <v>3278</v>
      </c>
      <c r="F287" s="97">
        <v>1060</v>
      </c>
      <c r="G287" s="97">
        <v>3769</v>
      </c>
      <c r="H287" s="97">
        <v>2317</v>
      </c>
      <c r="I287" s="98"/>
      <c r="J287" s="10">
        <f t="shared" si="18"/>
        <v>23.064</v>
      </c>
      <c r="K287" s="11">
        <v>6</v>
      </c>
      <c r="L287" s="12">
        <f t="shared" si="19"/>
        <v>3.8439999999999999</v>
      </c>
      <c r="M287" s="13">
        <f t="shared" si="20"/>
        <v>3844</v>
      </c>
      <c r="N287" s="16" t="s">
        <v>944</v>
      </c>
    </row>
    <row r="288" spans="1:14" s="5" customFormat="1" ht="12">
      <c r="A288" s="40" t="s">
        <v>1983</v>
      </c>
      <c r="B288" s="40" t="s">
        <v>1949</v>
      </c>
      <c r="C288" s="97">
        <v>10333</v>
      </c>
      <c r="D288" s="97">
        <v>10156</v>
      </c>
      <c r="E288" s="97">
        <v>8664</v>
      </c>
      <c r="F288" s="97">
        <v>3151</v>
      </c>
      <c r="G288" s="97">
        <v>10131</v>
      </c>
      <c r="H288" s="97">
        <v>6797</v>
      </c>
      <c r="I288" s="98"/>
      <c r="J288" s="10">
        <f t="shared" si="18"/>
        <v>51.664999999999999</v>
      </c>
      <c r="K288" s="11">
        <v>5</v>
      </c>
      <c r="L288" s="12">
        <f t="shared" si="19"/>
        <v>10.333</v>
      </c>
      <c r="M288" s="13">
        <f t="shared" si="20"/>
        <v>10333</v>
      </c>
      <c r="N288" s="16" t="s">
        <v>994</v>
      </c>
    </row>
    <row r="289" spans="1:16" s="5" customFormat="1" ht="12">
      <c r="A289" s="40" t="s">
        <v>1983</v>
      </c>
      <c r="B289" s="40" t="s">
        <v>1446</v>
      </c>
      <c r="C289" s="97">
        <v>2752</v>
      </c>
      <c r="D289" s="97">
        <v>2711</v>
      </c>
      <c r="E289" s="97">
        <v>2368</v>
      </c>
      <c r="F289" s="97">
        <v>794</v>
      </c>
      <c r="G289" s="97">
        <v>2706</v>
      </c>
      <c r="H289" s="97">
        <v>1742</v>
      </c>
      <c r="I289" s="98"/>
      <c r="J289" s="10">
        <f t="shared" si="18"/>
        <v>16.512</v>
      </c>
      <c r="K289" s="11">
        <v>6</v>
      </c>
      <c r="L289" s="12">
        <f t="shared" si="19"/>
        <v>2.7519999999999998</v>
      </c>
      <c r="M289" s="13">
        <f t="shared" si="20"/>
        <v>2752</v>
      </c>
      <c r="N289" s="16" t="s">
        <v>1447</v>
      </c>
    </row>
    <row r="290" spans="1:16" s="5" customFormat="1" ht="12">
      <c r="A290" s="40" t="s">
        <v>1983</v>
      </c>
      <c r="B290" s="40" t="s">
        <v>1472</v>
      </c>
      <c r="C290" s="97">
        <v>1719</v>
      </c>
      <c r="D290" s="97">
        <v>1698</v>
      </c>
      <c r="E290" s="97">
        <v>1460</v>
      </c>
      <c r="F290" s="97">
        <v>453</v>
      </c>
      <c r="G290" s="97">
        <v>1686</v>
      </c>
      <c r="H290" s="97">
        <v>1026</v>
      </c>
      <c r="I290" s="98"/>
      <c r="J290" s="10">
        <f t="shared" si="18"/>
        <v>10.314</v>
      </c>
      <c r="K290" s="11">
        <v>6</v>
      </c>
      <c r="L290" s="12">
        <f t="shared" si="19"/>
        <v>1.7190000000000001</v>
      </c>
      <c r="M290" s="13">
        <f t="shared" si="20"/>
        <v>1719</v>
      </c>
      <c r="N290" s="16" t="s">
        <v>1473</v>
      </c>
    </row>
    <row r="291" spans="1:16" s="5" customFormat="1" ht="12">
      <c r="A291" s="40" t="s">
        <v>1983</v>
      </c>
      <c r="B291" s="40" t="s">
        <v>1474</v>
      </c>
      <c r="C291" s="97">
        <v>1914</v>
      </c>
      <c r="D291" s="97">
        <v>1855</v>
      </c>
      <c r="E291" s="97">
        <v>1560</v>
      </c>
      <c r="F291" s="97">
        <v>518</v>
      </c>
      <c r="G291" s="97">
        <v>1875</v>
      </c>
      <c r="H291" s="97">
        <v>1118</v>
      </c>
      <c r="I291" s="98"/>
      <c r="J291" s="10">
        <f t="shared" si="18"/>
        <v>11.484</v>
      </c>
      <c r="K291" s="11">
        <v>6</v>
      </c>
      <c r="L291" s="12">
        <f t="shared" si="19"/>
        <v>1.9139999999999999</v>
      </c>
      <c r="M291" s="13">
        <f t="shared" si="20"/>
        <v>1914</v>
      </c>
      <c r="N291" s="16" t="s">
        <v>1475</v>
      </c>
    </row>
    <row r="292" spans="1:16" s="5" customFormat="1" ht="12">
      <c r="A292" s="40" t="s">
        <v>1983</v>
      </c>
      <c r="B292" s="40" t="s">
        <v>1572</v>
      </c>
      <c r="C292" s="97">
        <v>1310</v>
      </c>
      <c r="D292" s="97">
        <v>1276</v>
      </c>
      <c r="E292" s="97">
        <v>1045</v>
      </c>
      <c r="F292" s="97">
        <v>313</v>
      </c>
      <c r="G292" s="97">
        <v>1293</v>
      </c>
      <c r="H292" s="97">
        <v>693</v>
      </c>
      <c r="I292" s="98"/>
      <c r="J292" s="10">
        <f t="shared" ref="J292:J322" si="21">+K292*L292</f>
        <v>7.86</v>
      </c>
      <c r="K292" s="11">
        <v>6</v>
      </c>
      <c r="L292" s="12">
        <f t="shared" ref="L292:L322" si="22">+M292/1000</f>
        <v>1.31</v>
      </c>
      <c r="M292" s="13">
        <f t="shared" ref="M292:M322" si="23">+C292</f>
        <v>1310</v>
      </c>
      <c r="N292" s="16" t="s">
        <v>1573</v>
      </c>
    </row>
    <row r="293" spans="1:16" s="5" customFormat="1" ht="12">
      <c r="A293" s="40" t="s">
        <v>1983</v>
      </c>
      <c r="B293" s="40" t="s">
        <v>1622</v>
      </c>
      <c r="C293" s="97">
        <v>1566</v>
      </c>
      <c r="D293" s="97">
        <v>1536</v>
      </c>
      <c r="E293" s="97">
        <v>1277</v>
      </c>
      <c r="F293" s="97">
        <v>397</v>
      </c>
      <c r="G293" s="97">
        <v>1523</v>
      </c>
      <c r="H293" s="97">
        <v>914</v>
      </c>
      <c r="I293" s="98"/>
      <c r="J293" s="10">
        <f t="shared" si="21"/>
        <v>9.3960000000000008</v>
      </c>
      <c r="K293" s="11">
        <v>6</v>
      </c>
      <c r="L293" s="12">
        <f t="shared" si="22"/>
        <v>1.5660000000000001</v>
      </c>
      <c r="M293" s="13">
        <f t="shared" si="23"/>
        <v>1566</v>
      </c>
      <c r="N293" s="16" t="s">
        <v>1623</v>
      </c>
    </row>
    <row r="294" spans="1:16" s="5" customFormat="1" ht="12">
      <c r="A294" s="40" t="s">
        <v>1983</v>
      </c>
      <c r="B294" s="40" t="s">
        <v>1663</v>
      </c>
      <c r="C294" s="97">
        <v>1828</v>
      </c>
      <c r="D294" s="97">
        <v>1795</v>
      </c>
      <c r="E294" s="97">
        <v>1507</v>
      </c>
      <c r="F294" s="97">
        <v>500</v>
      </c>
      <c r="G294" s="97">
        <v>1808</v>
      </c>
      <c r="H294" s="97">
        <v>1128</v>
      </c>
      <c r="I294" s="98"/>
      <c r="J294" s="10">
        <f t="shared" si="21"/>
        <v>10.968</v>
      </c>
      <c r="K294" s="11">
        <v>6</v>
      </c>
      <c r="L294" s="12">
        <f t="shared" si="22"/>
        <v>1.8280000000000001</v>
      </c>
      <c r="M294" s="13">
        <f t="shared" si="23"/>
        <v>1828</v>
      </c>
      <c r="N294" s="16" t="s">
        <v>1664</v>
      </c>
    </row>
    <row r="295" spans="1:16" s="5" customFormat="1" ht="12">
      <c r="A295" s="40" t="s">
        <v>462</v>
      </c>
      <c r="B295" s="40" t="s">
        <v>462</v>
      </c>
      <c r="C295" s="97">
        <v>20765</v>
      </c>
      <c r="D295" s="97">
        <v>20608</v>
      </c>
      <c r="E295" s="97">
        <v>17455</v>
      </c>
      <c r="F295" s="97">
        <v>6068</v>
      </c>
      <c r="G295" s="97">
        <v>20433</v>
      </c>
      <c r="H295" s="97">
        <v>13531</v>
      </c>
      <c r="I295" s="98"/>
      <c r="J295" s="10">
        <f t="shared" si="21"/>
        <v>83.06</v>
      </c>
      <c r="K295" s="11">
        <v>4</v>
      </c>
      <c r="L295" s="12">
        <f t="shared" si="22"/>
        <v>20.765000000000001</v>
      </c>
      <c r="M295" s="13">
        <f t="shared" si="23"/>
        <v>20765</v>
      </c>
      <c r="N295" s="16" t="s">
        <v>1006</v>
      </c>
    </row>
    <row r="296" spans="1:16" s="2" customFormat="1" ht="12">
      <c r="A296" s="40" t="s">
        <v>462</v>
      </c>
      <c r="B296" s="40" t="s">
        <v>1397</v>
      </c>
      <c r="C296" s="97">
        <v>3023</v>
      </c>
      <c r="D296" s="97">
        <v>2976</v>
      </c>
      <c r="E296" s="97">
        <v>2504</v>
      </c>
      <c r="F296" s="97">
        <v>707</v>
      </c>
      <c r="G296" s="97">
        <v>2951</v>
      </c>
      <c r="H296" s="97">
        <v>1690</v>
      </c>
      <c r="I296" s="98"/>
      <c r="J296" s="10">
        <f t="shared" si="21"/>
        <v>18.138000000000002</v>
      </c>
      <c r="K296" s="11">
        <v>6</v>
      </c>
      <c r="L296" s="12">
        <f t="shared" si="22"/>
        <v>3.0230000000000001</v>
      </c>
      <c r="M296" s="13">
        <f t="shared" si="23"/>
        <v>3023</v>
      </c>
      <c r="N296" s="16" t="s">
        <v>1398</v>
      </c>
      <c r="O296" s="5"/>
      <c r="P296" s="5"/>
    </row>
    <row r="297" spans="1:16" s="2" customFormat="1" ht="12">
      <c r="A297" s="40" t="s">
        <v>56</v>
      </c>
      <c r="B297" s="40" t="s">
        <v>57</v>
      </c>
      <c r="C297" s="97">
        <v>1375</v>
      </c>
      <c r="D297" s="97">
        <v>1346</v>
      </c>
      <c r="E297" s="97">
        <v>1121</v>
      </c>
      <c r="F297" s="97">
        <v>351</v>
      </c>
      <c r="G297" s="97">
        <v>1325</v>
      </c>
      <c r="H297" s="97">
        <v>794</v>
      </c>
      <c r="I297" s="98"/>
      <c r="J297" s="10">
        <f t="shared" si="21"/>
        <v>8.25</v>
      </c>
      <c r="K297" s="11">
        <v>6</v>
      </c>
      <c r="L297" s="12">
        <f t="shared" si="22"/>
        <v>1.375</v>
      </c>
      <c r="M297" s="13">
        <f t="shared" si="23"/>
        <v>1375</v>
      </c>
      <c r="N297" s="16" t="s">
        <v>58</v>
      </c>
      <c r="O297" s="5"/>
      <c r="P297" s="5"/>
    </row>
    <row r="298" spans="1:16" s="5" customFormat="1" ht="12">
      <c r="A298" s="40" t="s">
        <v>56</v>
      </c>
      <c r="B298" s="40" t="s">
        <v>56</v>
      </c>
      <c r="C298" s="97">
        <v>3611</v>
      </c>
      <c r="D298" s="97">
        <v>3562</v>
      </c>
      <c r="E298" s="97">
        <v>3068</v>
      </c>
      <c r="F298" s="97">
        <v>1100</v>
      </c>
      <c r="G298" s="97">
        <v>3396</v>
      </c>
      <c r="H298" s="97">
        <v>2325</v>
      </c>
      <c r="I298" s="98"/>
      <c r="J298" s="10">
        <f t="shared" si="21"/>
        <v>21.666</v>
      </c>
      <c r="K298" s="11">
        <v>6</v>
      </c>
      <c r="L298" s="12">
        <f t="shared" si="22"/>
        <v>3.6110000000000002</v>
      </c>
      <c r="M298" s="13">
        <f t="shared" si="23"/>
        <v>3611</v>
      </c>
      <c r="N298" s="16" t="s">
        <v>1015</v>
      </c>
    </row>
    <row r="299" spans="1:16" s="5" customFormat="1" ht="12">
      <c r="A299" s="40" t="s">
        <v>68</v>
      </c>
      <c r="B299" s="40" t="s">
        <v>69</v>
      </c>
      <c r="C299" s="97">
        <v>533</v>
      </c>
      <c r="D299" s="97">
        <v>526</v>
      </c>
      <c r="E299" s="97">
        <v>419</v>
      </c>
      <c r="F299" s="97">
        <v>129</v>
      </c>
      <c r="G299" s="97">
        <v>517</v>
      </c>
      <c r="H299" s="97">
        <v>278</v>
      </c>
      <c r="I299" s="98"/>
      <c r="J299" s="10">
        <f t="shared" si="21"/>
        <v>3.1980000000000004</v>
      </c>
      <c r="K299" s="11">
        <v>6</v>
      </c>
      <c r="L299" s="12">
        <f t="shared" si="22"/>
        <v>0.53300000000000003</v>
      </c>
      <c r="M299" s="13">
        <f t="shared" si="23"/>
        <v>533</v>
      </c>
      <c r="N299" s="14" t="s">
        <v>70</v>
      </c>
    </row>
    <row r="300" spans="1:16" s="5" customFormat="1" ht="12">
      <c r="A300" s="40" t="s">
        <v>68</v>
      </c>
      <c r="B300" s="40" t="s">
        <v>84</v>
      </c>
      <c r="C300" s="97">
        <v>1862</v>
      </c>
      <c r="D300" s="97">
        <v>1852</v>
      </c>
      <c r="E300" s="97">
        <v>1560</v>
      </c>
      <c r="F300" s="97">
        <v>407</v>
      </c>
      <c r="G300" s="97">
        <v>1802</v>
      </c>
      <c r="H300" s="97">
        <v>1009</v>
      </c>
      <c r="I300" s="98"/>
      <c r="J300" s="10">
        <f t="shared" si="21"/>
        <v>11.172000000000001</v>
      </c>
      <c r="K300" s="11">
        <v>6</v>
      </c>
      <c r="L300" s="12">
        <f t="shared" si="22"/>
        <v>1.8620000000000001</v>
      </c>
      <c r="M300" s="13">
        <f t="shared" si="23"/>
        <v>1862</v>
      </c>
      <c r="N300" s="14" t="s">
        <v>85</v>
      </c>
    </row>
    <row r="301" spans="1:16" s="5" customFormat="1" ht="12">
      <c r="A301" s="40" t="s">
        <v>68</v>
      </c>
      <c r="B301" s="40" t="s">
        <v>86</v>
      </c>
      <c r="C301" s="97">
        <v>606</v>
      </c>
      <c r="D301" s="97">
        <v>591</v>
      </c>
      <c r="E301" s="97">
        <v>480</v>
      </c>
      <c r="F301" s="97">
        <v>159</v>
      </c>
      <c r="G301" s="97">
        <v>593</v>
      </c>
      <c r="H301" s="97">
        <v>406</v>
      </c>
      <c r="I301" s="98"/>
      <c r="J301" s="10">
        <f t="shared" si="21"/>
        <v>3.6360000000000001</v>
      </c>
      <c r="K301" s="11">
        <v>6</v>
      </c>
      <c r="L301" s="12">
        <f t="shared" si="22"/>
        <v>0.60599999999999998</v>
      </c>
      <c r="M301" s="13">
        <f t="shared" si="23"/>
        <v>606</v>
      </c>
      <c r="N301" s="16" t="s">
        <v>87</v>
      </c>
    </row>
    <row r="302" spans="1:16" s="5" customFormat="1" ht="12">
      <c r="A302" s="40" t="s">
        <v>68</v>
      </c>
      <c r="B302" s="40" t="s">
        <v>118</v>
      </c>
      <c r="C302" s="97">
        <v>1413</v>
      </c>
      <c r="D302" s="97">
        <v>1379</v>
      </c>
      <c r="E302" s="97">
        <v>1172</v>
      </c>
      <c r="F302" s="97">
        <v>335</v>
      </c>
      <c r="G302" s="97">
        <v>1374</v>
      </c>
      <c r="H302" s="97">
        <v>823</v>
      </c>
      <c r="I302" s="98"/>
      <c r="J302" s="10">
        <f t="shared" si="21"/>
        <v>8.4779999999999998</v>
      </c>
      <c r="K302" s="11">
        <v>6</v>
      </c>
      <c r="L302" s="12">
        <f t="shared" si="22"/>
        <v>1.413</v>
      </c>
      <c r="M302" s="13">
        <f t="shared" si="23"/>
        <v>1413</v>
      </c>
      <c r="N302" s="16" t="s">
        <v>119</v>
      </c>
    </row>
    <row r="303" spans="1:16" s="5" customFormat="1" ht="12">
      <c r="A303" s="40" t="s">
        <v>68</v>
      </c>
      <c r="B303" s="40" t="s">
        <v>288</v>
      </c>
      <c r="C303" s="97">
        <v>2194</v>
      </c>
      <c r="D303" s="97">
        <v>2171</v>
      </c>
      <c r="E303" s="97">
        <v>1927</v>
      </c>
      <c r="F303" s="97">
        <v>775</v>
      </c>
      <c r="G303" s="97">
        <v>2142</v>
      </c>
      <c r="H303" s="97">
        <v>1585</v>
      </c>
      <c r="I303" s="98"/>
      <c r="J303" s="10">
        <f t="shared" si="21"/>
        <v>13.164</v>
      </c>
      <c r="K303" s="11">
        <v>6</v>
      </c>
      <c r="L303" s="12">
        <f t="shared" si="22"/>
        <v>2.194</v>
      </c>
      <c r="M303" s="13">
        <f t="shared" si="23"/>
        <v>2194</v>
      </c>
      <c r="N303" s="16" t="s">
        <v>289</v>
      </c>
    </row>
    <row r="304" spans="1:16" s="5" customFormat="1" ht="12">
      <c r="A304" s="40" t="s">
        <v>68</v>
      </c>
      <c r="B304" s="40" t="s">
        <v>345</v>
      </c>
      <c r="C304" s="97">
        <v>1288</v>
      </c>
      <c r="D304" s="97">
        <v>1279</v>
      </c>
      <c r="E304" s="97">
        <v>1061</v>
      </c>
      <c r="F304" s="97">
        <v>305</v>
      </c>
      <c r="G304" s="97">
        <v>1250</v>
      </c>
      <c r="H304" s="97">
        <v>717</v>
      </c>
      <c r="I304" s="98"/>
      <c r="J304" s="10">
        <f t="shared" si="21"/>
        <v>7.7279999999999998</v>
      </c>
      <c r="K304" s="11">
        <v>6</v>
      </c>
      <c r="L304" s="12">
        <f t="shared" si="22"/>
        <v>1.288</v>
      </c>
      <c r="M304" s="13">
        <f t="shared" si="23"/>
        <v>1288</v>
      </c>
      <c r="N304" s="16" t="s">
        <v>346</v>
      </c>
    </row>
    <row r="305" spans="1:16" s="5" customFormat="1" ht="12">
      <c r="A305" s="40" t="s">
        <v>68</v>
      </c>
      <c r="B305" s="40" t="s">
        <v>383</v>
      </c>
      <c r="C305" s="97">
        <v>1103</v>
      </c>
      <c r="D305" s="97">
        <v>1093</v>
      </c>
      <c r="E305" s="97">
        <v>930</v>
      </c>
      <c r="F305" s="97">
        <v>275</v>
      </c>
      <c r="G305" s="97">
        <v>1078</v>
      </c>
      <c r="H305" s="97">
        <v>658</v>
      </c>
      <c r="I305" s="98"/>
      <c r="J305" s="10">
        <f t="shared" si="21"/>
        <v>6.6180000000000003</v>
      </c>
      <c r="K305" s="11">
        <v>6</v>
      </c>
      <c r="L305" s="12">
        <f t="shared" si="22"/>
        <v>1.103</v>
      </c>
      <c r="M305" s="13">
        <f t="shared" si="23"/>
        <v>1103</v>
      </c>
      <c r="N305" s="16" t="s">
        <v>384</v>
      </c>
    </row>
    <row r="306" spans="1:16" s="5" customFormat="1" ht="12">
      <c r="A306" s="40" t="s">
        <v>68</v>
      </c>
      <c r="B306" s="40" t="s">
        <v>386</v>
      </c>
      <c r="C306" s="97">
        <v>1574</v>
      </c>
      <c r="D306" s="97">
        <v>1547</v>
      </c>
      <c r="E306" s="97">
        <v>1345</v>
      </c>
      <c r="F306" s="97">
        <v>383</v>
      </c>
      <c r="G306" s="97">
        <v>1543</v>
      </c>
      <c r="H306" s="97">
        <v>913</v>
      </c>
      <c r="I306" s="98"/>
      <c r="J306" s="10">
        <f t="shared" si="21"/>
        <v>9.4440000000000008</v>
      </c>
      <c r="K306" s="11">
        <v>6</v>
      </c>
      <c r="L306" s="12">
        <f t="shared" si="22"/>
        <v>1.5740000000000001</v>
      </c>
      <c r="M306" s="13">
        <f t="shared" si="23"/>
        <v>1574</v>
      </c>
      <c r="N306" s="16" t="s">
        <v>387</v>
      </c>
    </row>
    <row r="307" spans="1:16" s="5" customFormat="1" ht="12">
      <c r="A307" s="40" t="s">
        <v>68</v>
      </c>
      <c r="B307" s="40" t="s">
        <v>928</v>
      </c>
      <c r="C307" s="97">
        <v>2155</v>
      </c>
      <c r="D307" s="97">
        <v>2135</v>
      </c>
      <c r="E307" s="97">
        <v>1772</v>
      </c>
      <c r="F307" s="97">
        <v>498</v>
      </c>
      <c r="G307" s="97">
        <v>2108</v>
      </c>
      <c r="H307" s="97">
        <v>1172</v>
      </c>
      <c r="I307" s="98"/>
      <c r="J307" s="10">
        <f t="shared" si="21"/>
        <v>12.93</v>
      </c>
      <c r="K307" s="11">
        <v>6</v>
      </c>
      <c r="L307" s="12">
        <f t="shared" si="22"/>
        <v>2.1549999999999998</v>
      </c>
      <c r="M307" s="13">
        <f t="shared" si="23"/>
        <v>2155</v>
      </c>
      <c r="N307" s="16" t="s">
        <v>929</v>
      </c>
    </row>
    <row r="308" spans="1:16" s="5" customFormat="1" ht="12">
      <c r="A308" s="40" t="s">
        <v>68</v>
      </c>
      <c r="B308" s="40" t="s">
        <v>1071</v>
      </c>
      <c r="C308" s="97">
        <v>3551</v>
      </c>
      <c r="D308" s="97">
        <v>3507</v>
      </c>
      <c r="E308" s="97">
        <v>3036</v>
      </c>
      <c r="F308" s="97">
        <v>922</v>
      </c>
      <c r="G308" s="97">
        <v>3502</v>
      </c>
      <c r="H308" s="97">
        <v>2058</v>
      </c>
      <c r="I308" s="98"/>
      <c r="J308" s="10">
        <f t="shared" si="21"/>
        <v>21.306000000000001</v>
      </c>
      <c r="K308" s="11">
        <v>6</v>
      </c>
      <c r="L308" s="12">
        <f t="shared" si="22"/>
        <v>3.5510000000000002</v>
      </c>
      <c r="M308" s="13">
        <f t="shared" si="23"/>
        <v>3551</v>
      </c>
      <c r="N308" s="16" t="s">
        <v>1072</v>
      </c>
    </row>
    <row r="309" spans="1:16" s="5" customFormat="1" ht="12">
      <c r="A309" s="40" t="s">
        <v>209</v>
      </c>
      <c r="B309" s="40" t="s">
        <v>209</v>
      </c>
      <c r="C309" s="97">
        <v>7906</v>
      </c>
      <c r="D309" s="97">
        <v>7758</v>
      </c>
      <c r="E309" s="97">
        <v>6575</v>
      </c>
      <c r="F309" s="97">
        <v>2058</v>
      </c>
      <c r="G309" s="97">
        <v>7752</v>
      </c>
      <c r="H309" s="97">
        <v>4515</v>
      </c>
      <c r="I309" s="98"/>
      <c r="J309" s="10">
        <f t="shared" si="21"/>
        <v>47.436</v>
      </c>
      <c r="K309" s="11">
        <v>6</v>
      </c>
      <c r="L309" s="12">
        <f t="shared" si="22"/>
        <v>7.9059999999999997</v>
      </c>
      <c r="M309" s="13">
        <f t="shared" si="23"/>
        <v>7906</v>
      </c>
      <c r="N309" s="16" t="s">
        <v>1054</v>
      </c>
    </row>
    <row r="310" spans="1:16" s="5" customFormat="1" ht="12">
      <c r="A310" s="40" t="s">
        <v>109</v>
      </c>
      <c r="B310" s="40" t="s">
        <v>376</v>
      </c>
      <c r="C310" s="97">
        <v>1428</v>
      </c>
      <c r="D310" s="97">
        <v>1414</v>
      </c>
      <c r="E310" s="97">
        <v>1127</v>
      </c>
      <c r="F310" s="97">
        <v>421</v>
      </c>
      <c r="G310" s="97">
        <v>1388</v>
      </c>
      <c r="H310" s="97">
        <v>806</v>
      </c>
      <c r="I310" s="98"/>
      <c r="J310" s="10">
        <f t="shared" si="21"/>
        <v>8.5679999999999996</v>
      </c>
      <c r="K310" s="11">
        <v>6</v>
      </c>
      <c r="L310" s="12">
        <f t="shared" si="22"/>
        <v>1.4279999999999999</v>
      </c>
      <c r="M310" s="13">
        <f t="shared" si="23"/>
        <v>1428</v>
      </c>
      <c r="N310" s="16" t="s">
        <v>377</v>
      </c>
    </row>
    <row r="311" spans="1:16" s="5" customFormat="1" ht="12">
      <c r="A311" s="40" t="s">
        <v>109</v>
      </c>
      <c r="B311" s="40" t="s">
        <v>427</v>
      </c>
      <c r="C311" s="97">
        <v>1572</v>
      </c>
      <c r="D311" s="97">
        <v>1543</v>
      </c>
      <c r="E311" s="97">
        <v>1301</v>
      </c>
      <c r="F311" s="97">
        <v>431</v>
      </c>
      <c r="G311" s="97">
        <v>1536</v>
      </c>
      <c r="H311" s="97">
        <v>947</v>
      </c>
      <c r="I311" s="98"/>
      <c r="J311" s="10">
        <f t="shared" si="21"/>
        <v>9.4320000000000004</v>
      </c>
      <c r="K311" s="11">
        <v>6</v>
      </c>
      <c r="L311" s="12">
        <f t="shared" si="22"/>
        <v>1.5720000000000001</v>
      </c>
      <c r="M311" s="13">
        <f t="shared" si="23"/>
        <v>1572</v>
      </c>
      <c r="N311" s="16" t="s">
        <v>428</v>
      </c>
    </row>
    <row r="312" spans="1:16" s="5" customFormat="1" ht="12">
      <c r="A312" s="40" t="s">
        <v>109</v>
      </c>
      <c r="B312" s="40" t="s">
        <v>961</v>
      </c>
      <c r="C312" s="97">
        <v>1219</v>
      </c>
      <c r="D312" s="97">
        <v>1162</v>
      </c>
      <c r="E312" s="97">
        <v>962</v>
      </c>
      <c r="F312" s="97">
        <v>331</v>
      </c>
      <c r="G312" s="97">
        <v>1193</v>
      </c>
      <c r="H312" s="97">
        <v>679</v>
      </c>
      <c r="I312" s="98"/>
      <c r="J312" s="10">
        <f t="shared" si="21"/>
        <v>7.3140000000000001</v>
      </c>
      <c r="K312" s="11">
        <v>6</v>
      </c>
      <c r="L312" s="12">
        <f t="shared" si="22"/>
        <v>1.2190000000000001</v>
      </c>
      <c r="M312" s="13">
        <f t="shared" si="23"/>
        <v>1219</v>
      </c>
      <c r="N312" s="16" t="s">
        <v>962</v>
      </c>
    </row>
    <row r="313" spans="1:16" s="5" customFormat="1" ht="12">
      <c r="A313" s="40" t="s">
        <v>109</v>
      </c>
      <c r="B313" s="40" t="s">
        <v>109</v>
      </c>
      <c r="C313" s="97">
        <v>4749</v>
      </c>
      <c r="D313" s="97">
        <v>4665</v>
      </c>
      <c r="E313" s="97">
        <v>3822</v>
      </c>
      <c r="F313" s="97">
        <v>1391</v>
      </c>
      <c r="G313" s="97">
        <v>4549</v>
      </c>
      <c r="H313" s="97">
        <v>2775</v>
      </c>
      <c r="I313" s="98"/>
      <c r="J313" s="10">
        <f t="shared" si="21"/>
        <v>28.494</v>
      </c>
      <c r="K313" s="11">
        <v>6</v>
      </c>
      <c r="L313" s="12">
        <f t="shared" si="22"/>
        <v>4.7489999999999997</v>
      </c>
      <c r="M313" s="13">
        <f t="shared" si="23"/>
        <v>4749</v>
      </c>
      <c r="N313" s="16" t="s">
        <v>1055</v>
      </c>
    </row>
    <row r="314" spans="1:16" s="5" customFormat="1" ht="12">
      <c r="A314" s="40" t="s">
        <v>109</v>
      </c>
      <c r="B314" s="40" t="s">
        <v>1378</v>
      </c>
      <c r="C314" s="97">
        <v>1266</v>
      </c>
      <c r="D314" s="97">
        <v>1237</v>
      </c>
      <c r="E314" s="97">
        <v>1039</v>
      </c>
      <c r="F314" s="97">
        <v>360</v>
      </c>
      <c r="G314" s="97">
        <v>1225</v>
      </c>
      <c r="H314" s="97">
        <v>744</v>
      </c>
      <c r="I314" s="98"/>
      <c r="J314" s="10">
        <f t="shared" si="21"/>
        <v>7.5960000000000001</v>
      </c>
      <c r="K314" s="11">
        <v>6</v>
      </c>
      <c r="L314" s="12">
        <f t="shared" si="22"/>
        <v>1.266</v>
      </c>
      <c r="M314" s="13">
        <f t="shared" si="23"/>
        <v>1266</v>
      </c>
      <c r="N314" s="16" t="s">
        <v>1379</v>
      </c>
    </row>
    <row r="315" spans="1:16" s="5" customFormat="1" ht="12">
      <c r="A315" s="40" t="s">
        <v>71</v>
      </c>
      <c r="B315" s="40" t="s">
        <v>72</v>
      </c>
      <c r="C315" s="97">
        <v>937</v>
      </c>
      <c r="D315" s="97">
        <v>921</v>
      </c>
      <c r="E315" s="97">
        <v>762</v>
      </c>
      <c r="F315" s="97">
        <v>263</v>
      </c>
      <c r="G315" s="97">
        <v>923</v>
      </c>
      <c r="H315" s="97">
        <v>602</v>
      </c>
      <c r="I315" s="98"/>
      <c r="J315" s="10">
        <f t="shared" si="21"/>
        <v>5.6219999999999999</v>
      </c>
      <c r="K315" s="11">
        <v>6</v>
      </c>
      <c r="L315" s="12">
        <f t="shared" si="22"/>
        <v>0.93700000000000006</v>
      </c>
      <c r="M315" s="13">
        <f t="shared" si="23"/>
        <v>937</v>
      </c>
      <c r="N315" s="14" t="s">
        <v>73</v>
      </c>
    </row>
    <row r="316" spans="1:16" s="5" customFormat="1" ht="12">
      <c r="A316" s="40" t="s">
        <v>71</v>
      </c>
      <c r="B316" s="40" t="s">
        <v>176</v>
      </c>
      <c r="C316" s="97">
        <v>1998</v>
      </c>
      <c r="D316" s="97">
        <v>1943</v>
      </c>
      <c r="E316" s="97">
        <v>1579</v>
      </c>
      <c r="F316" s="97">
        <v>554</v>
      </c>
      <c r="G316" s="97">
        <v>1967</v>
      </c>
      <c r="H316" s="97">
        <v>1248</v>
      </c>
      <c r="I316" s="98"/>
      <c r="J316" s="10">
        <f t="shared" si="21"/>
        <v>11.988</v>
      </c>
      <c r="K316" s="11">
        <v>6</v>
      </c>
      <c r="L316" s="12">
        <f t="shared" si="22"/>
        <v>1.998</v>
      </c>
      <c r="M316" s="13">
        <f t="shared" si="23"/>
        <v>1998</v>
      </c>
      <c r="N316" s="16" t="s">
        <v>177</v>
      </c>
    </row>
    <row r="317" spans="1:16" s="5" customFormat="1" ht="12">
      <c r="A317" s="40" t="s">
        <v>71</v>
      </c>
      <c r="B317" s="40" t="s">
        <v>481</v>
      </c>
      <c r="C317" s="97">
        <v>1867</v>
      </c>
      <c r="D317" s="97">
        <v>1844</v>
      </c>
      <c r="E317" s="97">
        <v>1547</v>
      </c>
      <c r="F317" s="97">
        <v>551</v>
      </c>
      <c r="G317" s="97">
        <v>1842</v>
      </c>
      <c r="H317" s="97">
        <v>1235</v>
      </c>
      <c r="I317" s="98"/>
      <c r="J317" s="10">
        <f t="shared" si="21"/>
        <v>11.202</v>
      </c>
      <c r="K317" s="11">
        <v>6</v>
      </c>
      <c r="L317" s="12">
        <f t="shared" si="22"/>
        <v>1.867</v>
      </c>
      <c r="M317" s="13">
        <f t="shared" si="23"/>
        <v>1867</v>
      </c>
      <c r="N317" s="16" t="s">
        <v>482</v>
      </c>
    </row>
    <row r="318" spans="1:16" s="5" customFormat="1" ht="12">
      <c r="A318" s="40" t="s">
        <v>71</v>
      </c>
      <c r="B318" s="40" t="s">
        <v>485</v>
      </c>
      <c r="C318" s="97">
        <v>1879</v>
      </c>
      <c r="D318" s="97">
        <v>1862</v>
      </c>
      <c r="E318" s="97">
        <v>1572</v>
      </c>
      <c r="F318" s="97">
        <v>540</v>
      </c>
      <c r="G318" s="97">
        <v>1829</v>
      </c>
      <c r="H318" s="97">
        <v>1209</v>
      </c>
      <c r="I318" s="98"/>
      <c r="J318" s="10">
        <f t="shared" si="21"/>
        <v>11.274000000000001</v>
      </c>
      <c r="K318" s="11">
        <v>6</v>
      </c>
      <c r="L318" s="12">
        <f t="shared" si="22"/>
        <v>1.879</v>
      </c>
      <c r="M318" s="13">
        <f t="shared" si="23"/>
        <v>1879</v>
      </c>
      <c r="N318" s="16" t="s">
        <v>486</v>
      </c>
    </row>
    <row r="319" spans="1:16" s="5" customFormat="1" ht="12">
      <c r="A319" s="66" t="s">
        <v>71</v>
      </c>
      <c r="B319" s="66" t="s">
        <v>517</v>
      </c>
      <c r="C319" s="103">
        <v>5045</v>
      </c>
      <c r="D319" s="103">
        <v>5008</v>
      </c>
      <c r="E319" s="103">
        <v>4364</v>
      </c>
      <c r="F319" s="103">
        <v>1509</v>
      </c>
      <c r="G319" s="103">
        <v>4999</v>
      </c>
      <c r="H319" s="103">
        <v>3338</v>
      </c>
      <c r="I319" s="104"/>
      <c r="J319" s="30">
        <f t="shared" si="21"/>
        <v>30.27</v>
      </c>
      <c r="K319" s="31">
        <v>6</v>
      </c>
      <c r="L319" s="32">
        <f t="shared" si="22"/>
        <v>5.0449999999999999</v>
      </c>
      <c r="M319" s="33">
        <f t="shared" si="23"/>
        <v>5045</v>
      </c>
      <c r="N319" s="34" t="s">
        <v>518</v>
      </c>
      <c r="O319" s="2"/>
      <c r="P319" s="2"/>
    </row>
    <row r="320" spans="1:16" s="5" customFormat="1" ht="12">
      <c r="A320" s="40" t="s">
        <v>71</v>
      </c>
      <c r="B320" s="40" t="s">
        <v>590</v>
      </c>
      <c r="C320" s="97">
        <v>1764</v>
      </c>
      <c r="D320" s="97">
        <v>1733</v>
      </c>
      <c r="E320" s="97">
        <v>1446</v>
      </c>
      <c r="F320" s="97">
        <v>504</v>
      </c>
      <c r="G320" s="97">
        <v>1746</v>
      </c>
      <c r="H320" s="97">
        <v>1153</v>
      </c>
      <c r="I320" s="98"/>
      <c r="J320" s="10">
        <f t="shared" si="21"/>
        <v>10.584</v>
      </c>
      <c r="K320" s="11">
        <v>6</v>
      </c>
      <c r="L320" s="12">
        <f t="shared" si="22"/>
        <v>1.764</v>
      </c>
      <c r="M320" s="13">
        <f t="shared" si="23"/>
        <v>1764</v>
      </c>
      <c r="N320" s="16" t="s">
        <v>591</v>
      </c>
    </row>
    <row r="321" spans="1:16" s="5" customFormat="1" ht="12">
      <c r="A321" s="40" t="s">
        <v>71</v>
      </c>
      <c r="B321" s="40" t="s">
        <v>757</v>
      </c>
      <c r="C321" s="97">
        <v>2245</v>
      </c>
      <c r="D321" s="97">
        <v>2228</v>
      </c>
      <c r="E321" s="97">
        <v>1896</v>
      </c>
      <c r="F321" s="97">
        <v>670</v>
      </c>
      <c r="G321" s="97">
        <v>2202</v>
      </c>
      <c r="H321" s="97">
        <v>1442</v>
      </c>
      <c r="I321" s="98"/>
      <c r="J321" s="10">
        <f t="shared" si="21"/>
        <v>13.47</v>
      </c>
      <c r="K321" s="11">
        <v>6</v>
      </c>
      <c r="L321" s="12">
        <f t="shared" si="22"/>
        <v>2.2450000000000001</v>
      </c>
      <c r="M321" s="13">
        <f t="shared" si="23"/>
        <v>2245</v>
      </c>
      <c r="N321" s="16" t="s">
        <v>758</v>
      </c>
    </row>
    <row r="322" spans="1:16" s="5" customFormat="1" ht="12">
      <c r="A322" s="40" t="s">
        <v>71</v>
      </c>
      <c r="B322" s="40" t="s">
        <v>1069</v>
      </c>
      <c r="C322" s="97">
        <v>2381</v>
      </c>
      <c r="D322" s="97">
        <v>2338</v>
      </c>
      <c r="E322" s="97">
        <v>2010</v>
      </c>
      <c r="F322" s="97">
        <v>575</v>
      </c>
      <c r="G322" s="97">
        <v>2348</v>
      </c>
      <c r="H322" s="97">
        <v>1435</v>
      </c>
      <c r="I322" s="98"/>
      <c r="J322" s="10">
        <f t="shared" si="21"/>
        <v>14.285999999999998</v>
      </c>
      <c r="K322" s="11">
        <v>6</v>
      </c>
      <c r="L322" s="12">
        <f t="shared" si="22"/>
        <v>2.3809999999999998</v>
      </c>
      <c r="M322" s="13">
        <f t="shared" si="23"/>
        <v>2381</v>
      </c>
      <c r="N322" s="16" t="s">
        <v>1070</v>
      </c>
    </row>
    <row r="323" spans="1:16" s="5" customFormat="1" ht="12">
      <c r="A323" s="68" t="s">
        <v>71</v>
      </c>
      <c r="B323" s="68" t="s">
        <v>1093</v>
      </c>
      <c r="C323" s="105">
        <v>649</v>
      </c>
      <c r="D323" s="105">
        <v>637</v>
      </c>
      <c r="E323" s="105">
        <v>502</v>
      </c>
      <c r="F323" s="105">
        <v>181</v>
      </c>
      <c r="G323" s="105">
        <v>640</v>
      </c>
      <c r="H323" s="105">
        <v>370</v>
      </c>
      <c r="I323" s="101"/>
      <c r="J323" s="17">
        <v>3.8940000000000001</v>
      </c>
      <c r="K323" s="17">
        <v>6</v>
      </c>
      <c r="L323" s="18">
        <v>0.64900000000000002</v>
      </c>
      <c r="M323" s="19">
        <v>649</v>
      </c>
      <c r="N323" s="22" t="s">
        <v>1094</v>
      </c>
    </row>
    <row r="324" spans="1:16" s="5" customFormat="1" ht="12">
      <c r="A324" s="26" t="s">
        <v>1920</v>
      </c>
      <c r="B324" s="64" t="s">
        <v>1093</v>
      </c>
      <c r="C324" s="106">
        <v>1016</v>
      </c>
      <c r="D324" s="106">
        <v>990</v>
      </c>
      <c r="E324" s="106">
        <v>780</v>
      </c>
      <c r="F324" s="106">
        <v>291</v>
      </c>
      <c r="G324" s="106">
        <v>1007</v>
      </c>
      <c r="H324" s="106">
        <v>601</v>
      </c>
      <c r="I324" s="107"/>
      <c r="J324" s="100"/>
      <c r="K324" s="107"/>
      <c r="L324" s="107"/>
      <c r="M324" s="107"/>
      <c r="N324" s="27" t="s">
        <v>1213</v>
      </c>
      <c r="O324" s="1"/>
      <c r="P324" s="1"/>
    </row>
    <row r="325" spans="1:16" s="5" customFormat="1" ht="12">
      <c r="A325" s="64" t="s">
        <v>71</v>
      </c>
      <c r="B325" s="64" t="s">
        <v>1133</v>
      </c>
      <c r="C325" s="19">
        <v>426</v>
      </c>
      <c r="D325" s="19">
        <v>421</v>
      </c>
      <c r="E325" s="19">
        <v>340</v>
      </c>
      <c r="F325" s="19">
        <v>113</v>
      </c>
      <c r="G325" s="19">
        <v>418</v>
      </c>
      <c r="H325" s="19">
        <v>277</v>
      </c>
      <c r="I325" s="101"/>
      <c r="J325" s="17">
        <v>2.556</v>
      </c>
      <c r="K325" s="17">
        <v>6</v>
      </c>
      <c r="L325" s="18">
        <v>0.42599999999999999</v>
      </c>
      <c r="M325" s="19">
        <v>426</v>
      </c>
      <c r="N325" s="22" t="s">
        <v>1134</v>
      </c>
    </row>
    <row r="326" spans="1:16" s="1" customFormat="1" ht="12">
      <c r="A326" s="64" t="s">
        <v>71</v>
      </c>
      <c r="B326" s="64" t="s">
        <v>1140</v>
      </c>
      <c r="C326" s="19">
        <v>320</v>
      </c>
      <c r="D326" s="19">
        <v>315</v>
      </c>
      <c r="E326" s="19">
        <v>241</v>
      </c>
      <c r="F326" s="19">
        <v>105</v>
      </c>
      <c r="G326" s="19">
        <v>307</v>
      </c>
      <c r="H326" s="19">
        <v>223</v>
      </c>
      <c r="I326" s="101"/>
      <c r="J326" s="17">
        <v>1.92</v>
      </c>
      <c r="K326" s="17">
        <v>6</v>
      </c>
      <c r="L326" s="18">
        <v>0.32</v>
      </c>
      <c r="M326" s="19">
        <v>320</v>
      </c>
      <c r="N326" s="22" t="s">
        <v>1142</v>
      </c>
      <c r="O326" s="5"/>
      <c r="P326" s="5"/>
    </row>
    <row r="327" spans="1:16" s="5" customFormat="1" ht="12">
      <c r="A327" s="64" t="s">
        <v>71</v>
      </c>
      <c r="B327" s="64" t="s">
        <v>1226</v>
      </c>
      <c r="C327" s="19">
        <v>319</v>
      </c>
      <c r="D327" s="19">
        <v>314</v>
      </c>
      <c r="E327" s="19">
        <v>251</v>
      </c>
      <c r="F327" s="19">
        <v>74</v>
      </c>
      <c r="G327" s="19">
        <v>313</v>
      </c>
      <c r="H327" s="19">
        <v>185</v>
      </c>
      <c r="I327" s="101"/>
      <c r="J327" s="17">
        <v>1.9139999999999999</v>
      </c>
      <c r="K327" s="17">
        <v>6</v>
      </c>
      <c r="L327" s="18">
        <v>0.31900000000000001</v>
      </c>
      <c r="M327" s="19">
        <v>319</v>
      </c>
      <c r="N327" s="22" t="s">
        <v>1227</v>
      </c>
    </row>
    <row r="328" spans="1:16" s="5" customFormat="1" ht="12">
      <c r="A328" s="64" t="s">
        <v>71</v>
      </c>
      <c r="B328" s="64" t="s">
        <v>1228</v>
      </c>
      <c r="C328" s="19">
        <v>960</v>
      </c>
      <c r="D328" s="19">
        <v>953</v>
      </c>
      <c r="E328" s="19">
        <v>802</v>
      </c>
      <c r="F328" s="19">
        <v>259</v>
      </c>
      <c r="G328" s="19">
        <v>944</v>
      </c>
      <c r="H328" s="19">
        <v>624</v>
      </c>
      <c r="I328" s="101"/>
      <c r="J328" s="17">
        <v>5.76</v>
      </c>
      <c r="K328" s="17">
        <v>6</v>
      </c>
      <c r="L328" s="18">
        <v>0.96</v>
      </c>
      <c r="M328" s="19">
        <v>960</v>
      </c>
      <c r="N328" s="22" t="s">
        <v>1229</v>
      </c>
    </row>
    <row r="329" spans="1:16" s="5" customFormat="1" ht="12">
      <c r="A329" s="40" t="s">
        <v>71</v>
      </c>
      <c r="B329" s="40" t="s">
        <v>1286</v>
      </c>
      <c r="C329" s="97">
        <v>2545</v>
      </c>
      <c r="D329" s="97">
        <v>2498</v>
      </c>
      <c r="E329" s="97">
        <v>2162</v>
      </c>
      <c r="F329" s="97">
        <v>643</v>
      </c>
      <c r="G329" s="97">
        <v>2503</v>
      </c>
      <c r="H329" s="97">
        <v>1504</v>
      </c>
      <c r="I329" s="98"/>
      <c r="J329" s="10">
        <f>+K329*L329</f>
        <v>15.27</v>
      </c>
      <c r="K329" s="11">
        <v>6</v>
      </c>
      <c r="L329" s="12">
        <f>+M329/1000</f>
        <v>2.5449999999999999</v>
      </c>
      <c r="M329" s="13">
        <f>+C329</f>
        <v>2545</v>
      </c>
      <c r="N329" s="16" t="s">
        <v>1287</v>
      </c>
    </row>
    <row r="330" spans="1:16" s="5" customFormat="1" ht="12">
      <c r="A330" s="40" t="s">
        <v>71</v>
      </c>
      <c r="B330" s="40" t="s">
        <v>1296</v>
      </c>
      <c r="C330" s="97">
        <v>2742</v>
      </c>
      <c r="D330" s="97">
        <v>2719</v>
      </c>
      <c r="E330" s="97">
        <v>2368</v>
      </c>
      <c r="F330" s="97">
        <v>803</v>
      </c>
      <c r="G330" s="97">
        <v>2704</v>
      </c>
      <c r="H330" s="97">
        <v>1780</v>
      </c>
      <c r="I330" s="98"/>
      <c r="J330" s="10">
        <f>+K330*L330</f>
        <v>16.451999999999998</v>
      </c>
      <c r="K330" s="11">
        <v>6</v>
      </c>
      <c r="L330" s="12">
        <f>+M330/1000</f>
        <v>2.742</v>
      </c>
      <c r="M330" s="13">
        <f>+C330</f>
        <v>2742</v>
      </c>
      <c r="N330" s="16" t="s">
        <v>1297</v>
      </c>
    </row>
    <row r="331" spans="1:16" s="5" customFormat="1" ht="12">
      <c r="A331" s="64" t="s">
        <v>71</v>
      </c>
      <c r="B331" s="64" t="s">
        <v>1400</v>
      </c>
      <c r="C331" s="19">
        <v>371</v>
      </c>
      <c r="D331" s="19">
        <v>362</v>
      </c>
      <c r="E331" s="19">
        <v>306</v>
      </c>
      <c r="F331" s="19">
        <v>76</v>
      </c>
      <c r="G331" s="19">
        <v>369</v>
      </c>
      <c r="H331" s="19">
        <v>183</v>
      </c>
      <c r="I331" s="101"/>
      <c r="J331" s="17">
        <v>2.226</v>
      </c>
      <c r="K331" s="17">
        <v>6</v>
      </c>
      <c r="L331" s="18">
        <v>0.371</v>
      </c>
      <c r="M331" s="19">
        <v>371</v>
      </c>
      <c r="N331" s="22" t="s">
        <v>1401</v>
      </c>
    </row>
    <row r="332" spans="1:16" s="5" customFormat="1" ht="12">
      <c r="A332" s="40" t="s">
        <v>71</v>
      </c>
      <c r="B332" s="40" t="s">
        <v>1481</v>
      </c>
      <c r="C332" s="97">
        <v>19870</v>
      </c>
      <c r="D332" s="97">
        <v>19810</v>
      </c>
      <c r="E332" s="97">
        <v>17295</v>
      </c>
      <c r="F332" s="97">
        <v>6010</v>
      </c>
      <c r="G332" s="97">
        <v>19672</v>
      </c>
      <c r="H332" s="97">
        <v>13287</v>
      </c>
      <c r="I332" s="98"/>
      <c r="J332" s="10">
        <f>+K332*L332</f>
        <v>79.48</v>
      </c>
      <c r="K332" s="11">
        <v>4</v>
      </c>
      <c r="L332" s="12">
        <f>+M332/1000</f>
        <v>19.87</v>
      </c>
      <c r="M332" s="13">
        <f>+C332</f>
        <v>19870</v>
      </c>
      <c r="N332" s="16" t="s">
        <v>1482</v>
      </c>
    </row>
    <row r="333" spans="1:16" s="5" customFormat="1" ht="12">
      <c r="A333" s="64" t="s">
        <v>71</v>
      </c>
      <c r="B333" s="64" t="s">
        <v>1516</v>
      </c>
      <c r="C333" s="19">
        <v>605</v>
      </c>
      <c r="D333" s="19">
        <v>575</v>
      </c>
      <c r="E333" s="19">
        <v>439</v>
      </c>
      <c r="F333" s="19">
        <v>149</v>
      </c>
      <c r="G333" s="19">
        <v>599</v>
      </c>
      <c r="H333" s="19">
        <v>349</v>
      </c>
      <c r="I333" s="101"/>
      <c r="J333" s="17">
        <v>3.63</v>
      </c>
      <c r="K333" s="17">
        <v>6</v>
      </c>
      <c r="L333" s="18">
        <v>0.60499999999999998</v>
      </c>
      <c r="M333" s="19">
        <v>605</v>
      </c>
      <c r="N333" s="22" t="s">
        <v>1517</v>
      </c>
    </row>
    <row r="334" spans="1:16" s="5" customFormat="1" ht="12">
      <c r="A334" s="40" t="s">
        <v>71</v>
      </c>
      <c r="B334" s="40" t="s">
        <v>1520</v>
      </c>
      <c r="C334" s="97">
        <v>658</v>
      </c>
      <c r="D334" s="97">
        <v>641</v>
      </c>
      <c r="E334" s="97">
        <v>483</v>
      </c>
      <c r="F334" s="97">
        <v>153</v>
      </c>
      <c r="G334" s="97">
        <v>651</v>
      </c>
      <c r="H334" s="97">
        <v>367</v>
      </c>
      <c r="I334" s="98"/>
      <c r="J334" s="10">
        <f>+K334*L334</f>
        <v>3.9480000000000004</v>
      </c>
      <c r="K334" s="11">
        <v>6</v>
      </c>
      <c r="L334" s="12">
        <f>+M334/1000</f>
        <v>0.65800000000000003</v>
      </c>
      <c r="M334" s="13">
        <f>+C334</f>
        <v>658</v>
      </c>
      <c r="N334" s="16" t="s">
        <v>1521</v>
      </c>
    </row>
    <row r="335" spans="1:16" s="5" customFormat="1" ht="12">
      <c r="A335" s="64" t="s">
        <v>71</v>
      </c>
      <c r="B335" s="64" t="s">
        <v>1531</v>
      </c>
      <c r="C335" s="19">
        <v>2361</v>
      </c>
      <c r="D335" s="19">
        <v>2356</v>
      </c>
      <c r="E335" s="19">
        <v>2109</v>
      </c>
      <c r="F335" s="19">
        <v>804</v>
      </c>
      <c r="G335" s="19">
        <v>2324</v>
      </c>
      <c r="H335" s="19">
        <v>1735</v>
      </c>
      <c r="I335" s="101"/>
      <c r="J335" s="17">
        <v>14.166</v>
      </c>
      <c r="K335" s="17">
        <v>6</v>
      </c>
      <c r="L335" s="18">
        <v>2.3610000000000002</v>
      </c>
      <c r="M335" s="19">
        <v>2361</v>
      </c>
      <c r="N335" s="22" t="s">
        <v>1532</v>
      </c>
    </row>
    <row r="336" spans="1:16" s="5" customFormat="1" ht="12">
      <c r="A336" s="64" t="s">
        <v>71</v>
      </c>
      <c r="B336" s="64" t="s">
        <v>1545</v>
      </c>
      <c r="C336" s="19">
        <v>435</v>
      </c>
      <c r="D336" s="19">
        <v>423</v>
      </c>
      <c r="E336" s="19">
        <v>354</v>
      </c>
      <c r="F336" s="19">
        <v>91</v>
      </c>
      <c r="G336" s="19">
        <v>427</v>
      </c>
      <c r="H336" s="19">
        <v>230</v>
      </c>
      <c r="I336" s="101"/>
      <c r="J336" s="17">
        <v>2.61</v>
      </c>
      <c r="K336" s="17">
        <v>6</v>
      </c>
      <c r="L336" s="18">
        <v>0.435</v>
      </c>
      <c r="M336" s="19">
        <v>435</v>
      </c>
      <c r="N336" s="22" t="s">
        <v>1546</v>
      </c>
    </row>
    <row r="337" spans="1:14" s="5" customFormat="1" ht="12">
      <c r="A337" s="64" t="s">
        <v>71</v>
      </c>
      <c r="B337" s="64" t="s">
        <v>1547</v>
      </c>
      <c r="C337" s="19">
        <v>612</v>
      </c>
      <c r="D337" s="19">
        <v>604</v>
      </c>
      <c r="E337" s="19">
        <v>506</v>
      </c>
      <c r="F337" s="19">
        <v>192</v>
      </c>
      <c r="G337" s="19">
        <v>605</v>
      </c>
      <c r="H337" s="19">
        <v>384</v>
      </c>
      <c r="I337" s="101"/>
      <c r="J337" s="17">
        <v>3.6720000000000002</v>
      </c>
      <c r="K337" s="17">
        <v>6</v>
      </c>
      <c r="L337" s="18">
        <v>0.61199999999999999</v>
      </c>
      <c r="M337" s="19">
        <v>612</v>
      </c>
      <c r="N337" s="22" t="s">
        <v>1548</v>
      </c>
    </row>
    <row r="338" spans="1:14" s="5" customFormat="1" ht="12">
      <c r="A338" s="64" t="s">
        <v>71</v>
      </c>
      <c r="B338" s="64" t="s">
        <v>1608</v>
      </c>
      <c r="C338" s="19">
        <v>345</v>
      </c>
      <c r="D338" s="19">
        <v>345</v>
      </c>
      <c r="E338" s="19">
        <v>281</v>
      </c>
      <c r="F338" s="19">
        <v>103</v>
      </c>
      <c r="G338" s="19">
        <v>341</v>
      </c>
      <c r="H338" s="19">
        <v>225</v>
      </c>
      <c r="I338" s="101"/>
      <c r="J338" s="17">
        <v>2.0699999999999998</v>
      </c>
      <c r="K338" s="17">
        <v>6</v>
      </c>
      <c r="L338" s="18">
        <v>0.34499999999999997</v>
      </c>
      <c r="M338" s="19">
        <v>345</v>
      </c>
      <c r="N338" s="22" t="s">
        <v>1609</v>
      </c>
    </row>
    <row r="339" spans="1:14" s="5" customFormat="1" ht="12">
      <c r="A339" s="40" t="s">
        <v>71</v>
      </c>
      <c r="B339" s="40" t="s">
        <v>1610</v>
      </c>
      <c r="C339" s="97">
        <v>799</v>
      </c>
      <c r="D339" s="97">
        <v>791</v>
      </c>
      <c r="E339" s="97">
        <v>597</v>
      </c>
      <c r="F339" s="97">
        <v>140</v>
      </c>
      <c r="G339" s="97">
        <v>781</v>
      </c>
      <c r="H339" s="97">
        <v>369</v>
      </c>
      <c r="I339" s="98"/>
      <c r="J339" s="10">
        <f>+K339*L339</f>
        <v>4.7940000000000005</v>
      </c>
      <c r="K339" s="11">
        <v>6</v>
      </c>
      <c r="L339" s="12">
        <f>+M339/1000</f>
        <v>0.79900000000000004</v>
      </c>
      <c r="M339" s="13">
        <f>+C339</f>
        <v>799</v>
      </c>
      <c r="N339" s="16" t="s">
        <v>1611</v>
      </c>
    </row>
    <row r="340" spans="1:14" s="5" customFormat="1" ht="12">
      <c r="A340" s="64" t="s">
        <v>71</v>
      </c>
      <c r="B340" s="64" t="s">
        <v>1954</v>
      </c>
      <c r="C340" s="19">
        <v>515</v>
      </c>
      <c r="D340" s="19">
        <v>514</v>
      </c>
      <c r="E340" s="19">
        <v>414</v>
      </c>
      <c r="F340" s="19">
        <v>136</v>
      </c>
      <c r="G340" s="19">
        <v>505</v>
      </c>
      <c r="H340" s="19">
        <v>307</v>
      </c>
      <c r="I340" s="101"/>
      <c r="J340" s="17">
        <v>3.09</v>
      </c>
      <c r="K340" s="17">
        <v>6</v>
      </c>
      <c r="L340" s="18">
        <v>0.51500000000000001</v>
      </c>
      <c r="M340" s="19">
        <v>515</v>
      </c>
      <c r="N340" s="22" t="s">
        <v>1613</v>
      </c>
    </row>
    <row r="341" spans="1:14" s="5" customFormat="1" ht="12">
      <c r="A341" s="64" t="s">
        <v>71</v>
      </c>
      <c r="B341" s="64" t="s">
        <v>1614</v>
      </c>
      <c r="C341" s="19">
        <v>605</v>
      </c>
      <c r="D341" s="19">
        <v>600</v>
      </c>
      <c r="E341" s="19">
        <v>509</v>
      </c>
      <c r="F341" s="19">
        <v>171</v>
      </c>
      <c r="G341" s="19">
        <v>591</v>
      </c>
      <c r="H341" s="19">
        <v>338</v>
      </c>
      <c r="I341" s="101"/>
      <c r="J341" s="17">
        <v>3.63</v>
      </c>
      <c r="K341" s="17">
        <v>6</v>
      </c>
      <c r="L341" s="18">
        <v>0.60499999999999998</v>
      </c>
      <c r="M341" s="19">
        <v>605</v>
      </c>
      <c r="N341" s="22" t="s">
        <v>1615</v>
      </c>
    </row>
    <row r="342" spans="1:14" s="5" customFormat="1" ht="12">
      <c r="A342" s="64" t="s">
        <v>71</v>
      </c>
      <c r="B342" s="64" t="s">
        <v>1684</v>
      </c>
      <c r="C342" s="19">
        <v>303</v>
      </c>
      <c r="D342" s="19">
        <v>293</v>
      </c>
      <c r="E342" s="19">
        <v>247</v>
      </c>
      <c r="F342" s="19">
        <v>85</v>
      </c>
      <c r="G342" s="19">
        <v>301</v>
      </c>
      <c r="H342" s="19">
        <v>193</v>
      </c>
      <c r="I342" s="101"/>
      <c r="J342" s="17">
        <v>1.8180000000000001</v>
      </c>
      <c r="K342" s="17">
        <v>6</v>
      </c>
      <c r="L342" s="18">
        <v>0.30299999999999999</v>
      </c>
      <c r="M342" s="19">
        <v>303</v>
      </c>
      <c r="N342" s="22" t="s">
        <v>1685</v>
      </c>
    </row>
    <row r="343" spans="1:14" s="5" customFormat="1" ht="12">
      <c r="A343" s="40" t="s">
        <v>71</v>
      </c>
      <c r="B343" s="40" t="s">
        <v>1698</v>
      </c>
      <c r="C343" s="97">
        <v>1577</v>
      </c>
      <c r="D343" s="97">
        <v>1550</v>
      </c>
      <c r="E343" s="97">
        <v>1366</v>
      </c>
      <c r="F343" s="97">
        <v>444</v>
      </c>
      <c r="G343" s="97">
        <v>1564</v>
      </c>
      <c r="H343" s="97">
        <v>1019</v>
      </c>
      <c r="I343" s="98"/>
      <c r="J343" s="10">
        <f>+K343*L343</f>
        <v>9.4619999999999997</v>
      </c>
      <c r="K343" s="11">
        <v>6</v>
      </c>
      <c r="L343" s="12">
        <f>+M343/1000</f>
        <v>1.577</v>
      </c>
      <c r="M343" s="13">
        <f>+C343</f>
        <v>1577</v>
      </c>
      <c r="N343" s="16" t="s">
        <v>1699</v>
      </c>
    </row>
    <row r="344" spans="1:14" s="5" customFormat="1" ht="12">
      <c r="A344" s="64" t="s">
        <v>71</v>
      </c>
      <c r="B344" s="64" t="s">
        <v>1700</v>
      </c>
      <c r="C344" s="19">
        <v>332</v>
      </c>
      <c r="D344" s="19">
        <v>314</v>
      </c>
      <c r="E344" s="19">
        <v>253</v>
      </c>
      <c r="F344" s="19">
        <v>85</v>
      </c>
      <c r="G344" s="19">
        <v>328</v>
      </c>
      <c r="H344" s="19">
        <v>198</v>
      </c>
      <c r="I344" s="101"/>
      <c r="J344" s="17">
        <v>1.992</v>
      </c>
      <c r="K344" s="17">
        <v>6</v>
      </c>
      <c r="L344" s="18">
        <v>0.33200000000000002</v>
      </c>
      <c r="M344" s="19">
        <v>332</v>
      </c>
      <c r="N344" s="22" t="s">
        <v>1701</v>
      </c>
    </row>
    <row r="345" spans="1:14" s="5" customFormat="1" ht="12">
      <c r="A345" s="64" t="s">
        <v>71</v>
      </c>
      <c r="B345" s="64" t="s">
        <v>1704</v>
      </c>
      <c r="C345" s="19">
        <v>373</v>
      </c>
      <c r="D345" s="19">
        <v>367</v>
      </c>
      <c r="E345" s="19">
        <v>317</v>
      </c>
      <c r="F345" s="19">
        <v>127</v>
      </c>
      <c r="G345" s="19">
        <v>361</v>
      </c>
      <c r="H345" s="19">
        <v>249</v>
      </c>
      <c r="I345" s="101"/>
      <c r="J345" s="17">
        <v>2.238</v>
      </c>
      <c r="K345" s="17">
        <v>6</v>
      </c>
      <c r="L345" s="18">
        <v>0.373</v>
      </c>
      <c r="M345" s="19">
        <v>373</v>
      </c>
      <c r="N345" s="22" t="s">
        <v>1705</v>
      </c>
    </row>
    <row r="346" spans="1:14" s="5" customFormat="1" ht="12">
      <c r="A346" s="28" t="s">
        <v>71</v>
      </c>
      <c r="B346" s="28" t="s">
        <v>1711</v>
      </c>
      <c r="C346" s="19">
        <v>592</v>
      </c>
      <c r="D346" s="19">
        <v>585</v>
      </c>
      <c r="E346" s="19">
        <v>530</v>
      </c>
      <c r="F346" s="19">
        <v>181</v>
      </c>
      <c r="G346" s="19">
        <v>586</v>
      </c>
      <c r="H346" s="19">
        <v>427</v>
      </c>
      <c r="I346" s="99"/>
      <c r="J346" s="100"/>
      <c r="K346" s="99"/>
      <c r="L346" s="99"/>
      <c r="M346" s="99"/>
      <c r="N346" s="16" t="s">
        <v>1712</v>
      </c>
    </row>
    <row r="347" spans="1:14" s="5" customFormat="1" ht="12">
      <c r="A347" s="64" t="s">
        <v>71</v>
      </c>
      <c r="B347" s="64" t="s">
        <v>1745</v>
      </c>
      <c r="C347" s="19">
        <v>440</v>
      </c>
      <c r="D347" s="19">
        <v>428</v>
      </c>
      <c r="E347" s="19">
        <v>352</v>
      </c>
      <c r="F347" s="19">
        <v>106</v>
      </c>
      <c r="G347" s="19">
        <v>434</v>
      </c>
      <c r="H347" s="19">
        <v>246</v>
      </c>
      <c r="I347" s="101"/>
      <c r="J347" s="17">
        <v>2.64</v>
      </c>
      <c r="K347" s="17">
        <v>6</v>
      </c>
      <c r="L347" s="18">
        <v>0.44</v>
      </c>
      <c r="M347" s="19">
        <v>440</v>
      </c>
      <c r="N347" s="22" t="s">
        <v>1746</v>
      </c>
    </row>
    <row r="348" spans="1:14" s="5" customFormat="1" ht="12">
      <c r="A348" s="64" t="s">
        <v>71</v>
      </c>
      <c r="B348" s="64" t="s">
        <v>1749</v>
      </c>
      <c r="C348" s="19">
        <v>341</v>
      </c>
      <c r="D348" s="19">
        <v>322</v>
      </c>
      <c r="E348" s="19">
        <v>255</v>
      </c>
      <c r="F348" s="19">
        <v>71</v>
      </c>
      <c r="G348" s="19">
        <v>335</v>
      </c>
      <c r="H348" s="19">
        <v>165</v>
      </c>
      <c r="I348" s="101"/>
      <c r="J348" s="17">
        <v>2.0459999999999998</v>
      </c>
      <c r="K348" s="17">
        <v>6</v>
      </c>
      <c r="L348" s="18">
        <v>0.34100000000000003</v>
      </c>
      <c r="M348" s="19">
        <v>341</v>
      </c>
      <c r="N348" s="22" t="s">
        <v>1750</v>
      </c>
    </row>
    <row r="349" spans="1:14" s="5" customFormat="1" ht="12">
      <c r="A349" s="40" t="s">
        <v>150</v>
      </c>
      <c r="B349" s="40" t="s">
        <v>275</v>
      </c>
      <c r="C349" s="97">
        <v>2299</v>
      </c>
      <c r="D349" s="97">
        <v>2243</v>
      </c>
      <c r="E349" s="97">
        <v>1932</v>
      </c>
      <c r="F349" s="97">
        <v>596</v>
      </c>
      <c r="G349" s="97">
        <v>2248</v>
      </c>
      <c r="H349" s="97">
        <v>1269</v>
      </c>
      <c r="I349" s="98"/>
      <c r="J349" s="10">
        <f t="shared" ref="J349:J375" si="24">+K349*L349</f>
        <v>13.794</v>
      </c>
      <c r="K349" s="11">
        <v>6</v>
      </c>
      <c r="L349" s="12">
        <f t="shared" ref="L349:L375" si="25">+M349/1000</f>
        <v>2.2989999999999999</v>
      </c>
      <c r="M349" s="13">
        <f t="shared" ref="M349:M375" si="26">+C349</f>
        <v>2299</v>
      </c>
      <c r="N349" s="16" t="s">
        <v>276</v>
      </c>
    </row>
    <row r="350" spans="1:14" s="5" customFormat="1" ht="12">
      <c r="A350" s="40" t="s">
        <v>150</v>
      </c>
      <c r="B350" s="40" t="s">
        <v>1215</v>
      </c>
      <c r="C350" s="97">
        <v>2699</v>
      </c>
      <c r="D350" s="97">
        <v>2631</v>
      </c>
      <c r="E350" s="97">
        <v>2181</v>
      </c>
      <c r="F350" s="97">
        <v>631</v>
      </c>
      <c r="G350" s="97">
        <v>2637</v>
      </c>
      <c r="H350" s="97">
        <v>1467</v>
      </c>
      <c r="I350" s="98"/>
      <c r="J350" s="10">
        <f t="shared" si="24"/>
        <v>16.193999999999999</v>
      </c>
      <c r="K350" s="11">
        <v>6</v>
      </c>
      <c r="L350" s="12">
        <f t="shared" si="25"/>
        <v>2.6989999999999998</v>
      </c>
      <c r="M350" s="13">
        <f t="shared" si="26"/>
        <v>2699</v>
      </c>
      <c r="N350" s="16" t="s">
        <v>1216</v>
      </c>
    </row>
    <row r="351" spans="1:14" s="5" customFormat="1" ht="12">
      <c r="A351" s="40" t="s">
        <v>150</v>
      </c>
      <c r="B351" s="40" t="s">
        <v>1826</v>
      </c>
      <c r="C351" s="97">
        <v>2655</v>
      </c>
      <c r="D351" s="97">
        <v>2624</v>
      </c>
      <c r="E351" s="97">
        <v>2215</v>
      </c>
      <c r="F351" s="97">
        <v>686</v>
      </c>
      <c r="G351" s="97">
        <v>2592</v>
      </c>
      <c r="H351" s="97">
        <v>1568</v>
      </c>
      <c r="I351" s="98"/>
      <c r="J351" s="10">
        <f t="shared" si="24"/>
        <v>15.93</v>
      </c>
      <c r="K351" s="11">
        <v>6</v>
      </c>
      <c r="L351" s="12">
        <f t="shared" si="25"/>
        <v>2.6549999999999998</v>
      </c>
      <c r="M351" s="13">
        <f t="shared" si="26"/>
        <v>2655</v>
      </c>
      <c r="N351" s="16" t="s">
        <v>1827</v>
      </c>
    </row>
    <row r="352" spans="1:14" s="5" customFormat="1" ht="12">
      <c r="A352" s="40" t="s">
        <v>191</v>
      </c>
      <c r="B352" s="40" t="s">
        <v>192</v>
      </c>
      <c r="C352" s="97">
        <v>694</v>
      </c>
      <c r="D352" s="97">
        <v>681</v>
      </c>
      <c r="E352" s="97">
        <v>533</v>
      </c>
      <c r="F352" s="97">
        <v>183</v>
      </c>
      <c r="G352" s="97">
        <v>673</v>
      </c>
      <c r="H352" s="97">
        <v>371</v>
      </c>
      <c r="I352" s="98"/>
      <c r="J352" s="10">
        <f t="shared" si="24"/>
        <v>4.1639999999999997</v>
      </c>
      <c r="K352" s="11">
        <v>6</v>
      </c>
      <c r="L352" s="12">
        <f t="shared" si="25"/>
        <v>0.69399999999999995</v>
      </c>
      <c r="M352" s="13">
        <f t="shared" si="26"/>
        <v>694</v>
      </c>
      <c r="N352" s="16" t="s">
        <v>193</v>
      </c>
    </row>
    <row r="353" spans="1:16" s="5" customFormat="1" ht="12">
      <c r="A353" s="40" t="s">
        <v>191</v>
      </c>
      <c r="B353" s="40" t="s">
        <v>341</v>
      </c>
      <c r="C353" s="97">
        <v>1022</v>
      </c>
      <c r="D353" s="97">
        <v>1006</v>
      </c>
      <c r="E353" s="97">
        <v>861</v>
      </c>
      <c r="F353" s="97">
        <v>285</v>
      </c>
      <c r="G353" s="97">
        <v>989</v>
      </c>
      <c r="H353" s="97">
        <v>586</v>
      </c>
      <c r="I353" s="98"/>
      <c r="J353" s="10">
        <f t="shared" si="24"/>
        <v>6.1319999999999997</v>
      </c>
      <c r="K353" s="11">
        <v>6</v>
      </c>
      <c r="L353" s="12">
        <f t="shared" si="25"/>
        <v>1.022</v>
      </c>
      <c r="M353" s="13">
        <f t="shared" si="26"/>
        <v>1022</v>
      </c>
      <c r="N353" s="16" t="s">
        <v>342</v>
      </c>
    </row>
    <row r="354" spans="1:16" s="5" customFormat="1" ht="12">
      <c r="A354" s="40" t="s">
        <v>191</v>
      </c>
      <c r="B354" s="40" t="s">
        <v>598</v>
      </c>
      <c r="C354" s="97">
        <v>1865</v>
      </c>
      <c r="D354" s="97">
        <v>1833</v>
      </c>
      <c r="E354" s="97">
        <v>1560</v>
      </c>
      <c r="F354" s="97">
        <v>504</v>
      </c>
      <c r="G354" s="97">
        <v>1825</v>
      </c>
      <c r="H354" s="97">
        <v>1099</v>
      </c>
      <c r="I354" s="98"/>
      <c r="J354" s="10">
        <f t="shared" si="24"/>
        <v>11.19</v>
      </c>
      <c r="K354" s="11">
        <v>6</v>
      </c>
      <c r="L354" s="12">
        <f t="shared" si="25"/>
        <v>1.865</v>
      </c>
      <c r="M354" s="13">
        <f t="shared" si="26"/>
        <v>1865</v>
      </c>
      <c r="N354" s="16" t="s">
        <v>599</v>
      </c>
    </row>
    <row r="355" spans="1:16" s="5" customFormat="1" ht="12">
      <c r="A355" s="40" t="s">
        <v>191</v>
      </c>
      <c r="B355" s="40" t="s">
        <v>1036</v>
      </c>
      <c r="C355" s="97">
        <v>1015</v>
      </c>
      <c r="D355" s="97">
        <v>988</v>
      </c>
      <c r="E355" s="97">
        <v>795</v>
      </c>
      <c r="F355" s="97">
        <v>248</v>
      </c>
      <c r="G355" s="97">
        <v>999</v>
      </c>
      <c r="H355" s="97">
        <v>572</v>
      </c>
      <c r="I355" s="98"/>
      <c r="J355" s="10">
        <f t="shared" si="24"/>
        <v>6.09</v>
      </c>
      <c r="K355" s="11">
        <v>6</v>
      </c>
      <c r="L355" s="12">
        <f t="shared" si="25"/>
        <v>1.0149999999999999</v>
      </c>
      <c r="M355" s="13">
        <f t="shared" si="26"/>
        <v>1015</v>
      </c>
      <c r="N355" s="16" t="s">
        <v>1037</v>
      </c>
    </row>
    <row r="356" spans="1:16" s="5" customFormat="1" ht="12">
      <c r="A356" s="40" t="s">
        <v>191</v>
      </c>
      <c r="B356" s="40" t="s">
        <v>1235</v>
      </c>
      <c r="C356" s="97">
        <v>11144</v>
      </c>
      <c r="D356" s="97">
        <v>10990</v>
      </c>
      <c r="E356" s="97">
        <v>9493</v>
      </c>
      <c r="F356" s="97">
        <v>3384</v>
      </c>
      <c r="G356" s="97">
        <v>10907</v>
      </c>
      <c r="H356" s="97">
        <v>7030</v>
      </c>
      <c r="I356" s="98"/>
      <c r="J356" s="10">
        <f t="shared" si="24"/>
        <v>55.72</v>
      </c>
      <c r="K356" s="11">
        <v>5</v>
      </c>
      <c r="L356" s="12">
        <f t="shared" si="25"/>
        <v>11.144</v>
      </c>
      <c r="M356" s="13">
        <f t="shared" si="26"/>
        <v>11144</v>
      </c>
      <c r="N356" s="16" t="s">
        <v>1236</v>
      </c>
    </row>
    <row r="357" spans="1:16" s="1" customFormat="1" ht="12">
      <c r="A357" s="40" t="s">
        <v>191</v>
      </c>
      <c r="B357" s="40" t="s">
        <v>1405</v>
      </c>
      <c r="C357" s="97">
        <v>770</v>
      </c>
      <c r="D357" s="97">
        <v>755</v>
      </c>
      <c r="E357" s="97">
        <v>604</v>
      </c>
      <c r="F357" s="97">
        <v>195</v>
      </c>
      <c r="G357" s="97">
        <v>754</v>
      </c>
      <c r="H357" s="97">
        <v>359</v>
      </c>
      <c r="I357" s="98"/>
      <c r="J357" s="10">
        <f t="shared" si="24"/>
        <v>4.62</v>
      </c>
      <c r="K357" s="11">
        <v>6</v>
      </c>
      <c r="L357" s="12">
        <f t="shared" si="25"/>
        <v>0.77</v>
      </c>
      <c r="M357" s="13">
        <f t="shared" si="26"/>
        <v>770</v>
      </c>
      <c r="N357" s="16" t="s">
        <v>1406</v>
      </c>
      <c r="O357" s="5"/>
      <c r="P357" s="5"/>
    </row>
    <row r="358" spans="1:16" s="5" customFormat="1" ht="12">
      <c r="A358" s="40" t="s">
        <v>191</v>
      </c>
      <c r="B358" s="40" t="s">
        <v>1718</v>
      </c>
      <c r="C358" s="97">
        <v>556</v>
      </c>
      <c r="D358" s="97">
        <v>547</v>
      </c>
      <c r="E358" s="97">
        <v>472</v>
      </c>
      <c r="F358" s="97">
        <v>135</v>
      </c>
      <c r="G358" s="97">
        <v>548</v>
      </c>
      <c r="H358" s="97">
        <v>293</v>
      </c>
      <c r="I358" s="98"/>
      <c r="J358" s="10">
        <f t="shared" si="24"/>
        <v>3.3360000000000003</v>
      </c>
      <c r="K358" s="11">
        <v>6</v>
      </c>
      <c r="L358" s="12">
        <f t="shared" si="25"/>
        <v>0.55600000000000005</v>
      </c>
      <c r="M358" s="13">
        <f t="shared" si="26"/>
        <v>556</v>
      </c>
      <c r="N358" s="16" t="s">
        <v>1719</v>
      </c>
    </row>
    <row r="359" spans="1:16" s="5" customFormat="1" ht="12">
      <c r="A359" s="40" t="s">
        <v>330</v>
      </c>
      <c r="B359" s="40" t="s">
        <v>332</v>
      </c>
      <c r="C359" s="97">
        <v>1644</v>
      </c>
      <c r="D359" s="97">
        <v>1620</v>
      </c>
      <c r="E359" s="97">
        <v>1398</v>
      </c>
      <c r="F359" s="97">
        <v>437</v>
      </c>
      <c r="G359" s="97">
        <v>1604</v>
      </c>
      <c r="H359" s="97">
        <v>988</v>
      </c>
      <c r="I359" s="98"/>
      <c r="J359" s="10">
        <f t="shared" si="24"/>
        <v>9.863999999999999</v>
      </c>
      <c r="K359" s="11">
        <v>6</v>
      </c>
      <c r="L359" s="12">
        <f t="shared" si="25"/>
        <v>1.6439999999999999</v>
      </c>
      <c r="M359" s="13">
        <f t="shared" si="26"/>
        <v>1644</v>
      </c>
      <c r="N359" s="16" t="s">
        <v>333</v>
      </c>
    </row>
    <row r="360" spans="1:16" s="5" customFormat="1" ht="12">
      <c r="A360" s="40" t="s">
        <v>330</v>
      </c>
      <c r="B360" s="40" t="s">
        <v>347</v>
      </c>
      <c r="C360" s="97">
        <v>3766</v>
      </c>
      <c r="D360" s="97">
        <v>3711</v>
      </c>
      <c r="E360" s="97">
        <v>3142</v>
      </c>
      <c r="F360" s="97">
        <v>915</v>
      </c>
      <c r="G360" s="97">
        <v>3666</v>
      </c>
      <c r="H360" s="97">
        <v>2217</v>
      </c>
      <c r="I360" s="98"/>
      <c r="J360" s="10">
        <f t="shared" si="24"/>
        <v>22.596</v>
      </c>
      <c r="K360" s="11">
        <v>6</v>
      </c>
      <c r="L360" s="12">
        <f t="shared" si="25"/>
        <v>3.766</v>
      </c>
      <c r="M360" s="13">
        <f t="shared" si="26"/>
        <v>3766</v>
      </c>
      <c r="N360" s="16" t="s">
        <v>348</v>
      </c>
    </row>
    <row r="361" spans="1:16" s="5" customFormat="1" ht="12">
      <c r="A361" s="40" t="s">
        <v>330</v>
      </c>
      <c r="B361" s="40" t="s">
        <v>405</v>
      </c>
      <c r="C361" s="97">
        <v>1425</v>
      </c>
      <c r="D361" s="97">
        <v>1422</v>
      </c>
      <c r="E361" s="97">
        <v>1155</v>
      </c>
      <c r="F361" s="97">
        <v>335</v>
      </c>
      <c r="G361" s="97">
        <v>1378</v>
      </c>
      <c r="H361" s="97">
        <v>865</v>
      </c>
      <c r="I361" s="98"/>
      <c r="J361" s="10">
        <f t="shared" si="24"/>
        <v>8.5500000000000007</v>
      </c>
      <c r="K361" s="11">
        <v>6</v>
      </c>
      <c r="L361" s="12">
        <f t="shared" si="25"/>
        <v>1.425</v>
      </c>
      <c r="M361" s="13">
        <f t="shared" si="26"/>
        <v>1425</v>
      </c>
      <c r="N361" s="16" t="s">
        <v>406</v>
      </c>
    </row>
    <row r="362" spans="1:16" s="5" customFormat="1" ht="12">
      <c r="A362" s="40" t="s">
        <v>330</v>
      </c>
      <c r="B362" s="40" t="s">
        <v>414</v>
      </c>
      <c r="C362" s="97">
        <v>2662</v>
      </c>
      <c r="D362" s="97">
        <v>2619</v>
      </c>
      <c r="E362" s="97">
        <v>2295</v>
      </c>
      <c r="F362" s="97">
        <v>555</v>
      </c>
      <c r="G362" s="97">
        <v>2614</v>
      </c>
      <c r="H362" s="97">
        <v>1453</v>
      </c>
      <c r="I362" s="98"/>
      <c r="J362" s="10">
        <f t="shared" si="24"/>
        <v>15.972</v>
      </c>
      <c r="K362" s="11">
        <v>6</v>
      </c>
      <c r="L362" s="12">
        <f t="shared" si="25"/>
        <v>2.6619999999999999</v>
      </c>
      <c r="M362" s="13">
        <f t="shared" si="26"/>
        <v>2662</v>
      </c>
      <c r="N362" s="16" t="s">
        <v>415</v>
      </c>
    </row>
    <row r="363" spans="1:16" s="5" customFormat="1" ht="12">
      <c r="A363" s="40" t="s">
        <v>330</v>
      </c>
      <c r="B363" s="40" t="s">
        <v>712</v>
      </c>
      <c r="C363" s="97">
        <v>1346</v>
      </c>
      <c r="D363" s="97">
        <v>1311</v>
      </c>
      <c r="E363" s="97">
        <v>983</v>
      </c>
      <c r="F363" s="97">
        <v>378</v>
      </c>
      <c r="G363" s="97">
        <v>1327</v>
      </c>
      <c r="H363" s="97">
        <v>827</v>
      </c>
      <c r="I363" s="98"/>
      <c r="J363" s="10">
        <f t="shared" si="24"/>
        <v>8.0760000000000005</v>
      </c>
      <c r="K363" s="11">
        <v>6</v>
      </c>
      <c r="L363" s="12">
        <f t="shared" si="25"/>
        <v>1.3460000000000001</v>
      </c>
      <c r="M363" s="13">
        <f t="shared" si="26"/>
        <v>1346</v>
      </c>
      <c r="N363" s="16" t="s">
        <v>713</v>
      </c>
    </row>
    <row r="364" spans="1:16" s="5" customFormat="1" ht="12">
      <c r="A364" s="40" t="s">
        <v>330</v>
      </c>
      <c r="B364" s="40" t="s">
        <v>792</v>
      </c>
      <c r="C364" s="97">
        <v>1392</v>
      </c>
      <c r="D364" s="97">
        <v>1369</v>
      </c>
      <c r="E364" s="97">
        <v>1160</v>
      </c>
      <c r="F364" s="97">
        <v>375</v>
      </c>
      <c r="G364" s="97">
        <v>1373</v>
      </c>
      <c r="H364" s="97">
        <v>900</v>
      </c>
      <c r="I364" s="98"/>
      <c r="J364" s="10">
        <f t="shared" si="24"/>
        <v>8.3520000000000003</v>
      </c>
      <c r="K364" s="11">
        <v>6</v>
      </c>
      <c r="L364" s="12">
        <f t="shared" si="25"/>
        <v>1.3919999999999999</v>
      </c>
      <c r="M364" s="13">
        <f t="shared" si="26"/>
        <v>1392</v>
      </c>
      <c r="N364" s="16" t="s">
        <v>793</v>
      </c>
    </row>
    <row r="365" spans="1:16" s="5" customFormat="1" ht="12">
      <c r="A365" s="40" t="s">
        <v>330</v>
      </c>
      <c r="B365" s="40" t="s">
        <v>1196</v>
      </c>
      <c r="C365" s="97">
        <v>15422</v>
      </c>
      <c r="D365" s="97">
        <v>15289</v>
      </c>
      <c r="E365" s="97">
        <v>13489</v>
      </c>
      <c r="F365" s="97">
        <v>4169</v>
      </c>
      <c r="G365" s="97">
        <v>15212</v>
      </c>
      <c r="H365" s="97">
        <v>9621</v>
      </c>
      <c r="I365" s="98"/>
      <c r="J365" s="10">
        <f t="shared" si="24"/>
        <v>77.11</v>
      </c>
      <c r="K365" s="11">
        <v>5</v>
      </c>
      <c r="L365" s="12">
        <f t="shared" si="25"/>
        <v>15.422000000000001</v>
      </c>
      <c r="M365" s="13">
        <f t="shared" si="26"/>
        <v>15422</v>
      </c>
      <c r="N365" s="16" t="s">
        <v>1197</v>
      </c>
    </row>
    <row r="366" spans="1:16" s="5" customFormat="1" ht="12">
      <c r="A366" s="40" t="s">
        <v>330</v>
      </c>
      <c r="B366" s="40" t="s">
        <v>1218</v>
      </c>
      <c r="C366" s="97">
        <v>2712</v>
      </c>
      <c r="D366" s="97">
        <v>2688</v>
      </c>
      <c r="E366" s="97">
        <v>2265</v>
      </c>
      <c r="F366" s="97">
        <v>599</v>
      </c>
      <c r="G366" s="97">
        <v>2656</v>
      </c>
      <c r="H366" s="97">
        <v>1504</v>
      </c>
      <c r="I366" s="98"/>
      <c r="J366" s="10">
        <f t="shared" si="24"/>
        <v>16.272000000000002</v>
      </c>
      <c r="K366" s="11">
        <v>6</v>
      </c>
      <c r="L366" s="12">
        <f t="shared" si="25"/>
        <v>2.7120000000000002</v>
      </c>
      <c r="M366" s="13">
        <f t="shared" si="26"/>
        <v>2712</v>
      </c>
      <c r="N366" s="16" t="s">
        <v>1219</v>
      </c>
    </row>
    <row r="367" spans="1:16" s="5" customFormat="1" ht="12">
      <c r="A367" s="40" t="s">
        <v>330</v>
      </c>
      <c r="B367" s="40" t="s">
        <v>1635</v>
      </c>
      <c r="C367" s="97">
        <v>1744</v>
      </c>
      <c r="D367" s="97">
        <v>1722</v>
      </c>
      <c r="E367" s="97">
        <v>1532</v>
      </c>
      <c r="F367" s="97">
        <v>406</v>
      </c>
      <c r="G367" s="97">
        <v>1718</v>
      </c>
      <c r="H367" s="97">
        <v>967</v>
      </c>
      <c r="I367" s="98"/>
      <c r="J367" s="10">
        <f t="shared" si="24"/>
        <v>10.464</v>
      </c>
      <c r="K367" s="11">
        <v>6</v>
      </c>
      <c r="L367" s="12">
        <f t="shared" si="25"/>
        <v>1.744</v>
      </c>
      <c r="M367" s="13">
        <f t="shared" si="26"/>
        <v>1744</v>
      </c>
      <c r="N367" s="16" t="s">
        <v>1636</v>
      </c>
    </row>
    <row r="368" spans="1:16" s="5" customFormat="1" ht="12">
      <c r="A368" s="40" t="s">
        <v>180</v>
      </c>
      <c r="B368" s="40" t="s">
        <v>180</v>
      </c>
      <c r="C368" s="97">
        <v>11148</v>
      </c>
      <c r="D368" s="97">
        <v>11027</v>
      </c>
      <c r="E368" s="97">
        <v>9225</v>
      </c>
      <c r="F368" s="97">
        <v>3175</v>
      </c>
      <c r="G368" s="97">
        <v>10921</v>
      </c>
      <c r="H368" s="97">
        <v>6625</v>
      </c>
      <c r="I368" s="98"/>
      <c r="J368" s="10">
        <f t="shared" si="24"/>
        <v>55.739999999999995</v>
      </c>
      <c r="K368" s="11">
        <v>5</v>
      </c>
      <c r="L368" s="12">
        <f t="shared" si="25"/>
        <v>11.148</v>
      </c>
      <c r="M368" s="13">
        <f t="shared" si="26"/>
        <v>11148</v>
      </c>
      <c r="N368" s="16" t="s">
        <v>1206</v>
      </c>
    </row>
    <row r="369" spans="1:16" s="5" customFormat="1" ht="12">
      <c r="A369" s="40" t="s">
        <v>180</v>
      </c>
      <c r="B369" s="40" t="s">
        <v>1540</v>
      </c>
      <c r="C369" s="97">
        <v>4432</v>
      </c>
      <c r="D369" s="97">
        <v>4372</v>
      </c>
      <c r="E369" s="97">
        <v>3612</v>
      </c>
      <c r="F369" s="97">
        <v>1032</v>
      </c>
      <c r="G369" s="97">
        <v>4361</v>
      </c>
      <c r="H369" s="97">
        <v>2458</v>
      </c>
      <c r="I369" s="98"/>
      <c r="J369" s="10">
        <f t="shared" si="24"/>
        <v>26.592000000000002</v>
      </c>
      <c r="K369" s="11">
        <v>6</v>
      </c>
      <c r="L369" s="12">
        <f t="shared" si="25"/>
        <v>4.4320000000000004</v>
      </c>
      <c r="M369" s="13">
        <f t="shared" si="26"/>
        <v>4432</v>
      </c>
      <c r="N369" s="16" t="s">
        <v>1541</v>
      </c>
    </row>
    <row r="370" spans="1:16" s="5" customFormat="1" ht="12">
      <c r="A370" s="40" t="s">
        <v>1955</v>
      </c>
      <c r="B370" s="40" t="s">
        <v>410</v>
      </c>
      <c r="C370" s="97">
        <v>1326</v>
      </c>
      <c r="D370" s="97">
        <v>1294</v>
      </c>
      <c r="E370" s="97">
        <v>1105</v>
      </c>
      <c r="F370" s="97">
        <v>376</v>
      </c>
      <c r="G370" s="97">
        <v>1280</v>
      </c>
      <c r="H370" s="97">
        <v>810</v>
      </c>
      <c r="I370" s="98"/>
      <c r="J370" s="10">
        <f t="shared" si="24"/>
        <v>7.9560000000000004</v>
      </c>
      <c r="K370" s="11">
        <v>6</v>
      </c>
      <c r="L370" s="12">
        <f t="shared" si="25"/>
        <v>1.3260000000000001</v>
      </c>
      <c r="M370" s="13">
        <f t="shared" si="26"/>
        <v>1326</v>
      </c>
      <c r="N370" s="16" t="s">
        <v>411</v>
      </c>
    </row>
    <row r="371" spans="1:16" s="5" customFormat="1" ht="12">
      <c r="A371" s="40" t="s">
        <v>1955</v>
      </c>
      <c r="B371" s="40" t="s">
        <v>1955</v>
      </c>
      <c r="C371" s="97">
        <v>10854</v>
      </c>
      <c r="D371" s="97">
        <v>10692</v>
      </c>
      <c r="E371" s="97">
        <v>9080</v>
      </c>
      <c r="F371" s="97">
        <v>3018</v>
      </c>
      <c r="G371" s="97">
        <v>10685</v>
      </c>
      <c r="H371" s="97">
        <v>6580</v>
      </c>
      <c r="I371" s="98"/>
      <c r="J371" s="10">
        <f t="shared" si="24"/>
        <v>54.269999999999996</v>
      </c>
      <c r="K371" s="11">
        <v>5</v>
      </c>
      <c r="L371" s="12">
        <f t="shared" si="25"/>
        <v>10.853999999999999</v>
      </c>
      <c r="M371" s="13">
        <f t="shared" si="26"/>
        <v>10854</v>
      </c>
      <c r="N371" s="16" t="s">
        <v>1208</v>
      </c>
    </row>
    <row r="372" spans="1:16" s="5" customFormat="1" ht="12">
      <c r="A372" s="40" t="s">
        <v>1955</v>
      </c>
      <c r="B372" s="40" t="s">
        <v>1351</v>
      </c>
      <c r="C372" s="97">
        <v>1122</v>
      </c>
      <c r="D372" s="97">
        <v>1101</v>
      </c>
      <c r="E372" s="97">
        <v>933</v>
      </c>
      <c r="F372" s="97">
        <v>309</v>
      </c>
      <c r="G372" s="97">
        <v>1106</v>
      </c>
      <c r="H372" s="97">
        <v>648</v>
      </c>
      <c r="I372" s="98"/>
      <c r="J372" s="10">
        <f t="shared" si="24"/>
        <v>6.7320000000000011</v>
      </c>
      <c r="K372" s="11">
        <v>6</v>
      </c>
      <c r="L372" s="12">
        <f t="shared" si="25"/>
        <v>1.1220000000000001</v>
      </c>
      <c r="M372" s="13">
        <f t="shared" si="26"/>
        <v>1122</v>
      </c>
      <c r="N372" s="16" t="s">
        <v>1352</v>
      </c>
    </row>
    <row r="373" spans="1:16" s="5" customFormat="1" ht="12">
      <c r="A373" s="40" t="s">
        <v>1955</v>
      </c>
      <c r="B373" s="40" t="s">
        <v>1702</v>
      </c>
      <c r="C373" s="97">
        <v>1229</v>
      </c>
      <c r="D373" s="97">
        <v>1212</v>
      </c>
      <c r="E373" s="97">
        <v>999</v>
      </c>
      <c r="F373" s="97">
        <v>294</v>
      </c>
      <c r="G373" s="97">
        <v>1201</v>
      </c>
      <c r="H373" s="97">
        <v>661</v>
      </c>
      <c r="I373" s="98"/>
      <c r="J373" s="10">
        <f t="shared" si="24"/>
        <v>7.3740000000000006</v>
      </c>
      <c r="K373" s="11">
        <v>6</v>
      </c>
      <c r="L373" s="12">
        <f t="shared" si="25"/>
        <v>1.2290000000000001</v>
      </c>
      <c r="M373" s="13">
        <f t="shared" si="26"/>
        <v>1229</v>
      </c>
      <c r="N373" s="16" t="s">
        <v>1703</v>
      </c>
    </row>
    <row r="374" spans="1:16" s="5" customFormat="1" ht="12">
      <c r="A374" s="40" t="s">
        <v>1955</v>
      </c>
      <c r="B374" s="40" t="s">
        <v>1769</v>
      </c>
      <c r="C374" s="97">
        <v>1524</v>
      </c>
      <c r="D374" s="97">
        <v>1502</v>
      </c>
      <c r="E374" s="97">
        <v>1291</v>
      </c>
      <c r="F374" s="97">
        <v>444</v>
      </c>
      <c r="G374" s="97">
        <v>1503</v>
      </c>
      <c r="H374" s="97">
        <v>940</v>
      </c>
      <c r="I374" s="98"/>
      <c r="J374" s="10">
        <f t="shared" si="24"/>
        <v>9.1440000000000001</v>
      </c>
      <c r="K374" s="11">
        <v>6</v>
      </c>
      <c r="L374" s="12">
        <f t="shared" si="25"/>
        <v>1.524</v>
      </c>
      <c r="M374" s="13">
        <f t="shared" si="26"/>
        <v>1524</v>
      </c>
      <c r="N374" s="16" t="s">
        <v>1770</v>
      </c>
    </row>
    <row r="375" spans="1:16" s="5" customFormat="1" ht="12">
      <c r="A375" s="40" t="s">
        <v>559</v>
      </c>
      <c r="B375" s="40" t="s">
        <v>559</v>
      </c>
      <c r="C375" s="97">
        <v>7840</v>
      </c>
      <c r="D375" s="97">
        <v>7740</v>
      </c>
      <c r="E375" s="97">
        <v>6648</v>
      </c>
      <c r="F375" s="97">
        <v>2320</v>
      </c>
      <c r="G375" s="97">
        <v>7654</v>
      </c>
      <c r="H375" s="97">
        <v>4729</v>
      </c>
      <c r="I375" s="98"/>
      <c r="J375" s="10">
        <f t="shared" si="24"/>
        <v>47.04</v>
      </c>
      <c r="K375" s="11">
        <v>6</v>
      </c>
      <c r="L375" s="12">
        <f t="shared" si="25"/>
        <v>7.84</v>
      </c>
      <c r="M375" s="13">
        <f t="shared" si="26"/>
        <v>7840</v>
      </c>
      <c r="N375" s="16" t="s">
        <v>1272</v>
      </c>
    </row>
    <row r="376" spans="1:16" s="5" customFormat="1" ht="12">
      <c r="A376" s="64" t="s">
        <v>114</v>
      </c>
      <c r="B376" s="64" t="s">
        <v>115</v>
      </c>
      <c r="C376" s="19">
        <v>629</v>
      </c>
      <c r="D376" s="19">
        <v>615</v>
      </c>
      <c r="E376" s="19">
        <v>550</v>
      </c>
      <c r="F376" s="19">
        <v>226</v>
      </c>
      <c r="G376" s="19">
        <v>609</v>
      </c>
      <c r="H376" s="19">
        <v>418</v>
      </c>
      <c r="I376" s="101"/>
      <c r="J376" s="17">
        <v>3.774</v>
      </c>
      <c r="K376" s="17">
        <v>6</v>
      </c>
      <c r="L376" s="18">
        <v>0.629</v>
      </c>
      <c r="M376" s="19">
        <v>629</v>
      </c>
      <c r="N376" s="22" t="s">
        <v>116</v>
      </c>
      <c r="O376" s="9"/>
      <c r="P376" s="9"/>
    </row>
    <row r="377" spans="1:16" s="5" customFormat="1" ht="12">
      <c r="A377" s="64" t="s">
        <v>114</v>
      </c>
      <c r="B377" s="64" t="s">
        <v>126</v>
      </c>
      <c r="C377" s="19">
        <v>647</v>
      </c>
      <c r="D377" s="19">
        <v>635</v>
      </c>
      <c r="E377" s="19">
        <v>522</v>
      </c>
      <c r="F377" s="19">
        <v>188</v>
      </c>
      <c r="G377" s="19">
        <v>639</v>
      </c>
      <c r="H377" s="19">
        <v>401</v>
      </c>
      <c r="I377" s="101"/>
      <c r="J377" s="17">
        <v>3.8820000000000001</v>
      </c>
      <c r="K377" s="17">
        <v>6</v>
      </c>
      <c r="L377" s="18">
        <v>0.64700000000000002</v>
      </c>
      <c r="M377" s="19">
        <v>647</v>
      </c>
      <c r="N377" s="22" t="s">
        <v>127</v>
      </c>
      <c r="O377" s="9"/>
      <c r="P377" s="9"/>
    </row>
    <row r="378" spans="1:16" s="5" customFormat="1" ht="12">
      <c r="A378" s="40" t="s">
        <v>114</v>
      </c>
      <c r="B378" s="40" t="s">
        <v>142</v>
      </c>
      <c r="C378" s="97">
        <v>7697</v>
      </c>
      <c r="D378" s="97">
        <v>7606</v>
      </c>
      <c r="E378" s="97">
        <v>6630</v>
      </c>
      <c r="F378" s="97">
        <v>2391</v>
      </c>
      <c r="G378" s="97">
        <v>7609</v>
      </c>
      <c r="H378" s="97">
        <v>5085</v>
      </c>
      <c r="I378" s="98"/>
      <c r="J378" s="10">
        <f>+K378*L378</f>
        <v>46.182000000000002</v>
      </c>
      <c r="K378" s="11">
        <v>6</v>
      </c>
      <c r="L378" s="12">
        <f>+M378/1000</f>
        <v>7.6970000000000001</v>
      </c>
      <c r="M378" s="13">
        <f>+C378</f>
        <v>7697</v>
      </c>
      <c r="N378" s="16" t="s">
        <v>143</v>
      </c>
    </row>
    <row r="379" spans="1:16" s="5" customFormat="1" ht="12">
      <c r="A379" s="40" t="s">
        <v>114</v>
      </c>
      <c r="B379" s="40" t="s">
        <v>168</v>
      </c>
      <c r="C379" s="97">
        <v>6085</v>
      </c>
      <c r="D379" s="97">
        <v>6038</v>
      </c>
      <c r="E379" s="97">
        <v>5253</v>
      </c>
      <c r="F379" s="97">
        <v>2088</v>
      </c>
      <c r="G379" s="97">
        <v>6045</v>
      </c>
      <c r="H379" s="97">
        <v>4299</v>
      </c>
      <c r="I379" s="98"/>
      <c r="J379" s="10">
        <f>+K379*L379</f>
        <v>36.51</v>
      </c>
      <c r="K379" s="11">
        <v>6</v>
      </c>
      <c r="L379" s="12">
        <f>+M379/1000</f>
        <v>6.085</v>
      </c>
      <c r="M379" s="13">
        <f>+C379</f>
        <v>6085</v>
      </c>
      <c r="N379" s="16" t="s">
        <v>169</v>
      </c>
    </row>
    <row r="380" spans="1:16" s="5" customFormat="1" ht="12">
      <c r="A380" s="40" t="s">
        <v>114</v>
      </c>
      <c r="B380" s="40" t="s">
        <v>172</v>
      </c>
      <c r="C380" s="97">
        <v>6261</v>
      </c>
      <c r="D380" s="97">
        <v>6198</v>
      </c>
      <c r="E380" s="97">
        <v>5563</v>
      </c>
      <c r="F380" s="97">
        <v>1966</v>
      </c>
      <c r="G380" s="97">
        <v>6192</v>
      </c>
      <c r="H380" s="97">
        <v>4306</v>
      </c>
      <c r="I380" s="98"/>
      <c r="J380" s="10">
        <f>+K380*L380</f>
        <v>37.566000000000003</v>
      </c>
      <c r="K380" s="11">
        <v>6</v>
      </c>
      <c r="L380" s="12">
        <f>+M380/1000</f>
        <v>6.2610000000000001</v>
      </c>
      <c r="M380" s="13">
        <f>+C380</f>
        <v>6261</v>
      </c>
      <c r="N380" s="16" t="s">
        <v>173</v>
      </c>
    </row>
    <row r="381" spans="1:16" s="5" customFormat="1" ht="12">
      <c r="A381" s="40" t="s">
        <v>114</v>
      </c>
      <c r="B381" s="40" t="s">
        <v>198</v>
      </c>
      <c r="C381" s="97">
        <v>1195</v>
      </c>
      <c r="D381" s="97">
        <v>1180</v>
      </c>
      <c r="E381" s="97">
        <v>1009</v>
      </c>
      <c r="F381" s="97">
        <v>358</v>
      </c>
      <c r="G381" s="97">
        <v>1165</v>
      </c>
      <c r="H381" s="97">
        <v>772</v>
      </c>
      <c r="I381" s="98"/>
      <c r="J381" s="10">
        <f>+K381*L381</f>
        <v>7.17</v>
      </c>
      <c r="K381" s="11">
        <v>6</v>
      </c>
      <c r="L381" s="12">
        <f>+M381/1000</f>
        <v>1.1950000000000001</v>
      </c>
      <c r="M381" s="13">
        <f>+C381</f>
        <v>1195</v>
      </c>
      <c r="N381" s="16" t="s">
        <v>199</v>
      </c>
    </row>
    <row r="382" spans="1:16" s="5" customFormat="1" ht="12">
      <c r="A382" s="64" t="s">
        <v>114</v>
      </c>
      <c r="B382" s="64" t="s">
        <v>239</v>
      </c>
      <c r="C382" s="19">
        <v>786</v>
      </c>
      <c r="D382" s="19">
        <v>768</v>
      </c>
      <c r="E382" s="19">
        <v>660</v>
      </c>
      <c r="F382" s="19">
        <v>251</v>
      </c>
      <c r="G382" s="19">
        <v>771</v>
      </c>
      <c r="H382" s="19">
        <v>508</v>
      </c>
      <c r="I382" s="101"/>
      <c r="J382" s="17">
        <v>4.7160000000000002</v>
      </c>
      <c r="K382" s="17">
        <v>6</v>
      </c>
      <c r="L382" s="18">
        <v>0.78600000000000003</v>
      </c>
      <c r="M382" s="19">
        <v>786</v>
      </c>
      <c r="N382" s="22" t="s">
        <v>240</v>
      </c>
      <c r="O382" s="9"/>
      <c r="P382" s="9"/>
    </row>
    <row r="383" spans="1:16" s="5" customFormat="1" ht="12">
      <c r="A383" s="40" t="s">
        <v>114</v>
      </c>
      <c r="B383" s="40" t="s">
        <v>304</v>
      </c>
      <c r="C383" s="97">
        <v>2509</v>
      </c>
      <c r="D383" s="97">
        <v>2461</v>
      </c>
      <c r="E383" s="97">
        <v>2094</v>
      </c>
      <c r="F383" s="97">
        <v>598</v>
      </c>
      <c r="G383" s="97">
        <v>2479</v>
      </c>
      <c r="H383" s="97">
        <v>1432</v>
      </c>
      <c r="I383" s="98"/>
      <c r="J383" s="10">
        <f>+K383*L383</f>
        <v>15.053999999999998</v>
      </c>
      <c r="K383" s="11">
        <v>6</v>
      </c>
      <c r="L383" s="12">
        <f>+M383/1000</f>
        <v>2.5089999999999999</v>
      </c>
      <c r="M383" s="13">
        <f>+C383</f>
        <v>2509</v>
      </c>
      <c r="N383" s="16" t="s">
        <v>305</v>
      </c>
    </row>
    <row r="384" spans="1:16" s="5" customFormat="1" ht="12">
      <c r="A384" s="40" t="s">
        <v>114</v>
      </c>
      <c r="B384" s="40" t="s">
        <v>323</v>
      </c>
      <c r="C384" s="97">
        <v>3162</v>
      </c>
      <c r="D384" s="97">
        <v>3134</v>
      </c>
      <c r="E384" s="97">
        <v>2773</v>
      </c>
      <c r="F384" s="97">
        <v>972</v>
      </c>
      <c r="G384" s="97">
        <v>3110</v>
      </c>
      <c r="H384" s="97">
        <v>2036</v>
      </c>
      <c r="I384" s="98"/>
      <c r="J384" s="10">
        <f>+K384*L384</f>
        <v>18.972000000000001</v>
      </c>
      <c r="K384" s="11">
        <v>6</v>
      </c>
      <c r="L384" s="12">
        <f>+M384/1000</f>
        <v>3.1619999999999999</v>
      </c>
      <c r="M384" s="13">
        <f>+C384</f>
        <v>3162</v>
      </c>
      <c r="N384" s="16" t="s">
        <v>324</v>
      </c>
    </row>
    <row r="385" spans="1:16" s="5" customFormat="1" ht="12">
      <c r="A385" s="40" t="s">
        <v>114</v>
      </c>
      <c r="B385" s="40" t="s">
        <v>358</v>
      </c>
      <c r="C385" s="97">
        <v>2540</v>
      </c>
      <c r="D385" s="97">
        <v>2510</v>
      </c>
      <c r="E385" s="97">
        <v>2191</v>
      </c>
      <c r="F385" s="97">
        <v>818</v>
      </c>
      <c r="G385" s="97">
        <v>2514</v>
      </c>
      <c r="H385" s="97">
        <v>1764</v>
      </c>
      <c r="I385" s="98"/>
      <c r="J385" s="10">
        <f>+K385*L385</f>
        <v>15.24</v>
      </c>
      <c r="K385" s="11">
        <v>6</v>
      </c>
      <c r="L385" s="12">
        <f>+M385/1000</f>
        <v>2.54</v>
      </c>
      <c r="M385" s="13">
        <f>+C385</f>
        <v>2540</v>
      </c>
      <c r="N385" s="16" t="s">
        <v>359</v>
      </c>
    </row>
    <row r="386" spans="1:16" s="5" customFormat="1" ht="12">
      <c r="A386" s="64" t="s">
        <v>114</v>
      </c>
      <c r="B386" s="64" t="s">
        <v>465</v>
      </c>
      <c r="C386" s="19">
        <v>391</v>
      </c>
      <c r="D386" s="19">
        <v>384</v>
      </c>
      <c r="E386" s="19">
        <v>312</v>
      </c>
      <c r="F386" s="19">
        <v>105</v>
      </c>
      <c r="G386" s="19">
        <v>384</v>
      </c>
      <c r="H386" s="19">
        <v>226</v>
      </c>
      <c r="I386" s="101"/>
      <c r="J386" s="17">
        <v>2.3460000000000001</v>
      </c>
      <c r="K386" s="17">
        <v>6</v>
      </c>
      <c r="L386" s="18">
        <v>0.39100000000000001</v>
      </c>
      <c r="M386" s="19">
        <v>391</v>
      </c>
      <c r="N386" s="22" t="s">
        <v>466</v>
      </c>
      <c r="O386" s="9"/>
      <c r="P386" s="9"/>
    </row>
    <row r="387" spans="1:16" s="5" customFormat="1" ht="12">
      <c r="A387" s="40" t="s">
        <v>114</v>
      </c>
      <c r="B387" s="40" t="s">
        <v>521</v>
      </c>
      <c r="C387" s="97">
        <v>4486</v>
      </c>
      <c r="D387" s="97">
        <v>4436</v>
      </c>
      <c r="E387" s="97">
        <v>3822</v>
      </c>
      <c r="F387" s="97">
        <v>1497</v>
      </c>
      <c r="G387" s="97">
        <v>4426</v>
      </c>
      <c r="H387" s="97">
        <v>3088</v>
      </c>
      <c r="I387" s="98"/>
      <c r="J387" s="10">
        <f>+K387*L387</f>
        <v>26.915999999999997</v>
      </c>
      <c r="K387" s="11">
        <v>6</v>
      </c>
      <c r="L387" s="12">
        <f>+M387/1000</f>
        <v>4.4859999999999998</v>
      </c>
      <c r="M387" s="13">
        <f>+C387</f>
        <v>4486</v>
      </c>
      <c r="N387" s="16" t="s">
        <v>522</v>
      </c>
    </row>
    <row r="388" spans="1:16" s="5" customFormat="1" ht="12">
      <c r="A388" s="64" t="s">
        <v>114</v>
      </c>
      <c r="B388" s="64" t="s">
        <v>555</v>
      </c>
      <c r="C388" s="19">
        <v>643</v>
      </c>
      <c r="D388" s="19">
        <v>630</v>
      </c>
      <c r="E388" s="19">
        <v>529</v>
      </c>
      <c r="F388" s="19">
        <v>181</v>
      </c>
      <c r="G388" s="19">
        <v>626</v>
      </c>
      <c r="H388" s="19">
        <v>377</v>
      </c>
      <c r="I388" s="101"/>
      <c r="J388" s="17">
        <v>3.8580000000000001</v>
      </c>
      <c r="K388" s="17">
        <v>6</v>
      </c>
      <c r="L388" s="18">
        <v>0.64300000000000002</v>
      </c>
      <c r="M388" s="19">
        <v>643</v>
      </c>
      <c r="N388" s="22" t="s">
        <v>556</v>
      </c>
      <c r="O388" s="9"/>
      <c r="P388" s="9"/>
    </row>
    <row r="389" spans="1:16" s="5" customFormat="1" ht="12">
      <c r="A389" s="64" t="s">
        <v>114</v>
      </c>
      <c r="B389" s="64" t="s">
        <v>614</v>
      </c>
      <c r="C389" s="19">
        <v>486</v>
      </c>
      <c r="D389" s="19">
        <v>481</v>
      </c>
      <c r="E389" s="19">
        <v>390</v>
      </c>
      <c r="F389" s="19">
        <v>126</v>
      </c>
      <c r="G389" s="19">
        <v>477</v>
      </c>
      <c r="H389" s="19">
        <v>281</v>
      </c>
      <c r="I389" s="101"/>
      <c r="J389" s="17">
        <v>2.9159999999999999</v>
      </c>
      <c r="K389" s="17">
        <v>6</v>
      </c>
      <c r="L389" s="18">
        <v>0.48599999999999999</v>
      </c>
      <c r="M389" s="19">
        <v>486</v>
      </c>
      <c r="N389" s="22" t="s">
        <v>615</v>
      </c>
      <c r="O389" s="9"/>
      <c r="P389" s="9"/>
    </row>
    <row r="390" spans="1:16" s="5" customFormat="1" ht="12">
      <c r="A390" s="64" t="s">
        <v>114</v>
      </c>
      <c r="B390" s="64" t="s">
        <v>635</v>
      </c>
      <c r="C390" s="19">
        <v>389</v>
      </c>
      <c r="D390" s="19">
        <v>383</v>
      </c>
      <c r="E390" s="19">
        <v>321</v>
      </c>
      <c r="F390" s="19">
        <v>117</v>
      </c>
      <c r="G390" s="19">
        <v>381</v>
      </c>
      <c r="H390" s="19">
        <v>233</v>
      </c>
      <c r="I390" s="101"/>
      <c r="J390" s="17">
        <v>2.3340000000000001</v>
      </c>
      <c r="K390" s="17">
        <v>6</v>
      </c>
      <c r="L390" s="18">
        <v>0.38900000000000001</v>
      </c>
      <c r="M390" s="19">
        <v>389</v>
      </c>
      <c r="N390" s="22" t="s">
        <v>636</v>
      </c>
      <c r="O390" s="9"/>
      <c r="P390" s="9"/>
    </row>
    <row r="391" spans="1:16" s="5" customFormat="1" ht="12">
      <c r="A391" s="64" t="s">
        <v>114</v>
      </c>
      <c r="B391" s="64" t="s">
        <v>731</v>
      </c>
      <c r="C391" s="19">
        <v>523</v>
      </c>
      <c r="D391" s="19">
        <v>513</v>
      </c>
      <c r="E391" s="19">
        <v>384</v>
      </c>
      <c r="F391" s="19">
        <v>119</v>
      </c>
      <c r="G391" s="19">
        <v>513</v>
      </c>
      <c r="H391" s="19">
        <v>285</v>
      </c>
      <c r="I391" s="101"/>
      <c r="J391" s="17">
        <v>3.1379999999999999</v>
      </c>
      <c r="K391" s="17">
        <v>6</v>
      </c>
      <c r="L391" s="18">
        <v>0.52300000000000002</v>
      </c>
      <c r="M391" s="19">
        <v>523</v>
      </c>
      <c r="N391" s="22" t="s">
        <v>732</v>
      </c>
      <c r="O391" s="9"/>
      <c r="P391" s="9"/>
    </row>
    <row r="392" spans="1:16" s="5" customFormat="1" ht="12">
      <c r="A392" s="64" t="s">
        <v>114</v>
      </c>
      <c r="B392" s="64" t="s">
        <v>742</v>
      </c>
      <c r="C392" s="19">
        <v>489</v>
      </c>
      <c r="D392" s="19">
        <v>480</v>
      </c>
      <c r="E392" s="19">
        <v>357</v>
      </c>
      <c r="F392" s="19">
        <v>109</v>
      </c>
      <c r="G392" s="19">
        <v>487</v>
      </c>
      <c r="H392" s="19">
        <v>238</v>
      </c>
      <c r="I392" s="101"/>
      <c r="J392" s="17">
        <v>2.9340000000000002</v>
      </c>
      <c r="K392" s="17">
        <v>6</v>
      </c>
      <c r="L392" s="18">
        <v>0.48899999999999999</v>
      </c>
      <c r="M392" s="19">
        <v>489</v>
      </c>
      <c r="N392" s="22" t="s">
        <v>743</v>
      </c>
      <c r="O392" s="9"/>
      <c r="P392" s="9"/>
    </row>
    <row r="393" spans="1:16" s="5" customFormat="1" ht="12">
      <c r="A393" s="40" t="s">
        <v>114</v>
      </c>
      <c r="B393" s="40" t="s">
        <v>749</v>
      </c>
      <c r="C393" s="97">
        <v>1139</v>
      </c>
      <c r="D393" s="97">
        <v>1117</v>
      </c>
      <c r="E393" s="97">
        <v>916</v>
      </c>
      <c r="F393" s="97">
        <v>270</v>
      </c>
      <c r="G393" s="97">
        <v>1105</v>
      </c>
      <c r="H393" s="97">
        <v>642</v>
      </c>
      <c r="I393" s="98"/>
      <c r="J393" s="10">
        <f>+K393*L393</f>
        <v>6.8339999999999996</v>
      </c>
      <c r="K393" s="11">
        <v>6</v>
      </c>
      <c r="L393" s="12">
        <f>+M393/1000</f>
        <v>1.139</v>
      </c>
      <c r="M393" s="13">
        <f>+C393</f>
        <v>1139</v>
      </c>
      <c r="N393" s="16" t="s">
        <v>750</v>
      </c>
    </row>
    <row r="394" spans="1:16" s="5" customFormat="1" ht="12">
      <c r="A394" s="64" t="s">
        <v>114</v>
      </c>
      <c r="B394" s="64" t="s">
        <v>760</v>
      </c>
      <c r="C394" s="19">
        <v>357</v>
      </c>
      <c r="D394" s="19">
        <v>339</v>
      </c>
      <c r="E394" s="19">
        <v>277</v>
      </c>
      <c r="F394" s="19">
        <v>101</v>
      </c>
      <c r="G394" s="19">
        <v>344</v>
      </c>
      <c r="H394" s="19">
        <v>205</v>
      </c>
      <c r="I394" s="101"/>
      <c r="J394" s="17">
        <v>2.1419999999999999</v>
      </c>
      <c r="K394" s="17">
        <v>6</v>
      </c>
      <c r="L394" s="18">
        <v>0.35699999999999998</v>
      </c>
      <c r="M394" s="19">
        <v>357</v>
      </c>
      <c r="N394" s="22" t="s">
        <v>761</v>
      </c>
      <c r="O394" s="9"/>
      <c r="P394" s="9"/>
    </row>
    <row r="395" spans="1:16" s="5" customFormat="1" ht="12">
      <c r="A395" s="64" t="s">
        <v>114</v>
      </c>
      <c r="B395" s="64" t="s">
        <v>764</v>
      </c>
      <c r="C395" s="19">
        <v>327</v>
      </c>
      <c r="D395" s="19">
        <v>317</v>
      </c>
      <c r="E395" s="19">
        <v>254</v>
      </c>
      <c r="F395" s="19">
        <v>86</v>
      </c>
      <c r="G395" s="19">
        <v>315</v>
      </c>
      <c r="H395" s="19">
        <v>177</v>
      </c>
      <c r="I395" s="101"/>
      <c r="J395" s="17">
        <v>1.962</v>
      </c>
      <c r="K395" s="17">
        <v>6</v>
      </c>
      <c r="L395" s="18">
        <v>0.32700000000000001</v>
      </c>
      <c r="M395" s="19">
        <v>327</v>
      </c>
      <c r="N395" s="22" t="s">
        <v>765</v>
      </c>
      <c r="O395" s="9"/>
      <c r="P395" s="9"/>
    </row>
    <row r="396" spans="1:16" s="5" customFormat="1" ht="12">
      <c r="A396" s="40" t="s">
        <v>114</v>
      </c>
      <c r="B396" s="40" t="s">
        <v>766</v>
      </c>
      <c r="C396" s="97">
        <v>3339</v>
      </c>
      <c r="D396" s="97">
        <v>3291</v>
      </c>
      <c r="E396" s="97">
        <v>2954</v>
      </c>
      <c r="F396" s="97">
        <v>1061</v>
      </c>
      <c r="G396" s="97">
        <v>3297</v>
      </c>
      <c r="H396" s="97">
        <v>2248</v>
      </c>
      <c r="I396" s="98"/>
      <c r="J396" s="10">
        <f>+K396*L396</f>
        <v>20.033999999999999</v>
      </c>
      <c r="K396" s="11">
        <v>6</v>
      </c>
      <c r="L396" s="12">
        <f>+M396/1000</f>
        <v>3.339</v>
      </c>
      <c r="M396" s="13">
        <f>+C396</f>
        <v>3339</v>
      </c>
      <c r="N396" s="16" t="s">
        <v>767</v>
      </c>
    </row>
    <row r="397" spans="1:16" s="5" customFormat="1" ht="12">
      <c r="A397" s="64" t="s">
        <v>114</v>
      </c>
      <c r="B397" s="64" t="s">
        <v>770</v>
      </c>
      <c r="C397" s="19">
        <v>371</v>
      </c>
      <c r="D397" s="19">
        <v>369</v>
      </c>
      <c r="E397" s="19">
        <v>280</v>
      </c>
      <c r="F397" s="19">
        <v>63</v>
      </c>
      <c r="G397" s="19">
        <v>354</v>
      </c>
      <c r="H397" s="19">
        <v>174</v>
      </c>
      <c r="I397" s="101"/>
      <c r="J397" s="17">
        <v>2.226</v>
      </c>
      <c r="K397" s="17">
        <v>6</v>
      </c>
      <c r="L397" s="18">
        <v>0.371</v>
      </c>
      <c r="M397" s="19">
        <v>371</v>
      </c>
      <c r="N397" s="22" t="s">
        <v>771</v>
      </c>
      <c r="O397" s="9"/>
      <c r="P397" s="9"/>
    </row>
    <row r="398" spans="1:16" s="5" customFormat="1" ht="12">
      <c r="A398" s="40" t="s">
        <v>114</v>
      </c>
      <c r="B398" s="40" t="s">
        <v>772</v>
      </c>
      <c r="C398" s="97">
        <v>2475</v>
      </c>
      <c r="D398" s="97">
        <v>2431</v>
      </c>
      <c r="E398" s="97">
        <v>2121</v>
      </c>
      <c r="F398" s="97">
        <v>755</v>
      </c>
      <c r="G398" s="97">
        <v>2446</v>
      </c>
      <c r="H398" s="97">
        <v>1607</v>
      </c>
      <c r="I398" s="98"/>
      <c r="J398" s="10">
        <f>+K398*L398</f>
        <v>14.850000000000001</v>
      </c>
      <c r="K398" s="11">
        <v>6</v>
      </c>
      <c r="L398" s="12">
        <f>+M398/1000</f>
        <v>2.4750000000000001</v>
      </c>
      <c r="M398" s="13">
        <f>+C398</f>
        <v>2475</v>
      </c>
      <c r="N398" s="16" t="s">
        <v>773</v>
      </c>
    </row>
    <row r="399" spans="1:16" s="5" customFormat="1" ht="12">
      <c r="A399" s="64" t="s">
        <v>114</v>
      </c>
      <c r="B399" s="64" t="s">
        <v>774</v>
      </c>
      <c r="C399" s="19">
        <v>370</v>
      </c>
      <c r="D399" s="19">
        <v>362</v>
      </c>
      <c r="E399" s="19">
        <v>285</v>
      </c>
      <c r="F399" s="19">
        <v>88</v>
      </c>
      <c r="G399" s="19">
        <v>358</v>
      </c>
      <c r="H399" s="19">
        <v>196</v>
      </c>
      <c r="I399" s="101"/>
      <c r="J399" s="17">
        <v>2.2200000000000002</v>
      </c>
      <c r="K399" s="17">
        <v>6</v>
      </c>
      <c r="L399" s="18">
        <v>0.37</v>
      </c>
      <c r="M399" s="19">
        <v>370</v>
      </c>
      <c r="N399" s="22" t="s">
        <v>775</v>
      </c>
      <c r="O399" s="9"/>
      <c r="P399" s="9"/>
    </row>
    <row r="400" spans="1:16" s="5" customFormat="1" ht="12">
      <c r="A400" s="40" t="s">
        <v>114</v>
      </c>
      <c r="B400" s="40" t="s">
        <v>798</v>
      </c>
      <c r="C400" s="97">
        <v>3665</v>
      </c>
      <c r="D400" s="97">
        <v>3635</v>
      </c>
      <c r="E400" s="97">
        <v>3162</v>
      </c>
      <c r="F400" s="97">
        <v>1121</v>
      </c>
      <c r="G400" s="97">
        <v>3615</v>
      </c>
      <c r="H400" s="97">
        <v>2387</v>
      </c>
      <c r="I400" s="98"/>
      <c r="J400" s="10">
        <f>+K400*L400</f>
        <v>21.990000000000002</v>
      </c>
      <c r="K400" s="11">
        <v>6</v>
      </c>
      <c r="L400" s="12">
        <f>+M400/1000</f>
        <v>3.665</v>
      </c>
      <c r="M400" s="13">
        <f>+C400</f>
        <v>3665</v>
      </c>
      <c r="N400" s="16" t="s">
        <v>799</v>
      </c>
    </row>
    <row r="401" spans="1:16" s="5" customFormat="1" ht="12">
      <c r="A401" s="64" t="s">
        <v>114</v>
      </c>
      <c r="B401" s="64" t="s">
        <v>819</v>
      </c>
      <c r="C401" s="19">
        <v>609</v>
      </c>
      <c r="D401" s="19">
        <v>594</v>
      </c>
      <c r="E401" s="19">
        <v>505</v>
      </c>
      <c r="F401" s="19">
        <v>185</v>
      </c>
      <c r="G401" s="19">
        <v>603</v>
      </c>
      <c r="H401" s="19">
        <v>375</v>
      </c>
      <c r="I401" s="101"/>
      <c r="J401" s="17">
        <v>3.6539999999999999</v>
      </c>
      <c r="K401" s="17">
        <v>6</v>
      </c>
      <c r="L401" s="18">
        <v>0.60899999999999999</v>
      </c>
      <c r="M401" s="19">
        <v>609</v>
      </c>
      <c r="N401" s="22" t="s">
        <v>820</v>
      </c>
      <c r="O401" s="9"/>
      <c r="P401" s="9"/>
    </row>
    <row r="402" spans="1:16" s="5" customFormat="1" ht="12">
      <c r="A402" s="64" t="s">
        <v>114</v>
      </c>
      <c r="B402" s="64" t="s">
        <v>850</v>
      </c>
      <c r="C402" s="19">
        <v>328</v>
      </c>
      <c r="D402" s="19">
        <v>324</v>
      </c>
      <c r="E402" s="19">
        <v>272</v>
      </c>
      <c r="F402" s="19">
        <v>77</v>
      </c>
      <c r="G402" s="19">
        <v>319</v>
      </c>
      <c r="H402" s="19">
        <v>180</v>
      </c>
      <c r="I402" s="101"/>
      <c r="J402" s="17">
        <v>1.968</v>
      </c>
      <c r="K402" s="17">
        <v>6</v>
      </c>
      <c r="L402" s="18">
        <v>0.32800000000000001</v>
      </c>
      <c r="M402" s="19">
        <v>328</v>
      </c>
      <c r="N402" s="22" t="s">
        <v>851</v>
      </c>
      <c r="O402" s="9"/>
      <c r="P402" s="9"/>
    </row>
    <row r="403" spans="1:16" s="5" customFormat="1" ht="12">
      <c r="A403" s="64" t="s">
        <v>114</v>
      </c>
      <c r="B403" s="64" t="s">
        <v>885</v>
      </c>
      <c r="C403" s="19">
        <v>661</v>
      </c>
      <c r="D403" s="19">
        <v>655</v>
      </c>
      <c r="E403" s="19">
        <v>558</v>
      </c>
      <c r="F403" s="19">
        <v>186</v>
      </c>
      <c r="G403" s="19">
        <v>649</v>
      </c>
      <c r="H403" s="19">
        <v>405</v>
      </c>
      <c r="I403" s="101"/>
      <c r="J403" s="17">
        <v>3.9660000000000002</v>
      </c>
      <c r="K403" s="17">
        <v>6</v>
      </c>
      <c r="L403" s="18">
        <v>0.66100000000000003</v>
      </c>
      <c r="M403" s="19">
        <v>661</v>
      </c>
      <c r="N403" s="22" t="s">
        <v>886</v>
      </c>
      <c r="O403" s="9"/>
      <c r="P403" s="9"/>
    </row>
    <row r="404" spans="1:16" s="5" customFormat="1" ht="12">
      <c r="A404" s="64" t="s">
        <v>114</v>
      </c>
      <c r="B404" s="64" t="s">
        <v>896</v>
      </c>
      <c r="C404" s="19">
        <v>459</v>
      </c>
      <c r="D404" s="19">
        <v>447</v>
      </c>
      <c r="E404" s="19">
        <v>365</v>
      </c>
      <c r="F404" s="19">
        <v>127</v>
      </c>
      <c r="G404" s="19">
        <v>451</v>
      </c>
      <c r="H404" s="19">
        <v>229</v>
      </c>
      <c r="I404" s="101"/>
      <c r="J404" s="17">
        <v>2.754</v>
      </c>
      <c r="K404" s="17">
        <v>6</v>
      </c>
      <c r="L404" s="18">
        <v>0.45900000000000002</v>
      </c>
      <c r="M404" s="19">
        <v>459</v>
      </c>
      <c r="N404" s="22" t="s">
        <v>897</v>
      </c>
      <c r="O404" s="9"/>
      <c r="P404" s="9"/>
    </row>
    <row r="405" spans="1:16" s="5" customFormat="1" ht="12">
      <c r="A405" s="40" t="s">
        <v>114</v>
      </c>
      <c r="B405" s="40" t="s">
        <v>966</v>
      </c>
      <c r="C405" s="97">
        <v>6396</v>
      </c>
      <c r="D405" s="97">
        <v>6306</v>
      </c>
      <c r="E405" s="97">
        <v>5608</v>
      </c>
      <c r="F405" s="97">
        <v>1847</v>
      </c>
      <c r="G405" s="97">
        <v>6336</v>
      </c>
      <c r="H405" s="97">
        <v>4125</v>
      </c>
      <c r="I405" s="98"/>
      <c r="J405" s="10">
        <f>+K405*L405</f>
        <v>38.375999999999998</v>
      </c>
      <c r="K405" s="11">
        <v>6</v>
      </c>
      <c r="L405" s="12">
        <f>+M405/1000</f>
        <v>6.3959999999999999</v>
      </c>
      <c r="M405" s="13">
        <f>+C405</f>
        <v>6396</v>
      </c>
      <c r="N405" s="16" t="s">
        <v>967</v>
      </c>
    </row>
    <row r="406" spans="1:16" s="5" customFormat="1" ht="12">
      <c r="A406" s="64" t="s">
        <v>114</v>
      </c>
      <c r="B406" s="64" t="s">
        <v>976</v>
      </c>
      <c r="C406" s="19">
        <v>593</v>
      </c>
      <c r="D406" s="19">
        <v>582</v>
      </c>
      <c r="E406" s="19">
        <v>480</v>
      </c>
      <c r="F406" s="19">
        <v>136</v>
      </c>
      <c r="G406" s="19">
        <v>583</v>
      </c>
      <c r="H406" s="19">
        <v>315</v>
      </c>
      <c r="I406" s="101"/>
      <c r="J406" s="17">
        <v>3.5579999999999998</v>
      </c>
      <c r="K406" s="17">
        <v>6</v>
      </c>
      <c r="L406" s="18">
        <v>0.59299999999999997</v>
      </c>
      <c r="M406" s="19">
        <v>593</v>
      </c>
      <c r="N406" s="22" t="s">
        <v>977</v>
      </c>
      <c r="O406" s="9"/>
      <c r="P406" s="9"/>
    </row>
    <row r="407" spans="1:16" s="5" customFormat="1" ht="12">
      <c r="A407" s="40" t="s">
        <v>114</v>
      </c>
      <c r="B407" s="40" t="s">
        <v>980</v>
      </c>
      <c r="C407" s="97">
        <v>2909</v>
      </c>
      <c r="D407" s="97">
        <v>2862</v>
      </c>
      <c r="E407" s="97">
        <v>2441</v>
      </c>
      <c r="F407" s="97">
        <v>854</v>
      </c>
      <c r="G407" s="97">
        <v>2855</v>
      </c>
      <c r="H407" s="97">
        <v>1881</v>
      </c>
      <c r="I407" s="98"/>
      <c r="J407" s="10">
        <f>+K407*L407</f>
        <v>17.454000000000001</v>
      </c>
      <c r="K407" s="11">
        <v>6</v>
      </c>
      <c r="L407" s="12">
        <f>+M407/1000</f>
        <v>2.9089999999999998</v>
      </c>
      <c r="M407" s="13">
        <f>+C407</f>
        <v>2909</v>
      </c>
      <c r="N407" s="16" t="s">
        <v>981</v>
      </c>
    </row>
    <row r="408" spans="1:16" s="5" customFormat="1" ht="12">
      <c r="A408" s="40" t="s">
        <v>114</v>
      </c>
      <c r="B408" s="40" t="s">
        <v>995</v>
      </c>
      <c r="C408" s="97">
        <v>5967</v>
      </c>
      <c r="D408" s="97">
        <v>5883</v>
      </c>
      <c r="E408" s="97">
        <v>5175</v>
      </c>
      <c r="F408" s="97">
        <v>1820</v>
      </c>
      <c r="G408" s="97">
        <v>5914</v>
      </c>
      <c r="H408" s="97">
        <v>4027</v>
      </c>
      <c r="I408" s="98"/>
      <c r="J408" s="10">
        <f>+K408*L408</f>
        <v>35.802</v>
      </c>
      <c r="K408" s="11">
        <v>6</v>
      </c>
      <c r="L408" s="12">
        <f>+M408/1000</f>
        <v>5.9669999999999996</v>
      </c>
      <c r="M408" s="13">
        <f>+C408</f>
        <v>5967</v>
      </c>
      <c r="N408" s="16" t="s">
        <v>996</v>
      </c>
    </row>
    <row r="409" spans="1:16" s="5" customFormat="1" ht="12">
      <c r="A409" s="64" t="s">
        <v>114</v>
      </c>
      <c r="B409" s="64" t="s">
        <v>1013</v>
      </c>
      <c r="C409" s="19">
        <v>787</v>
      </c>
      <c r="D409" s="19">
        <v>777</v>
      </c>
      <c r="E409" s="19">
        <v>683</v>
      </c>
      <c r="F409" s="19">
        <v>233</v>
      </c>
      <c r="G409" s="19">
        <v>776</v>
      </c>
      <c r="H409" s="19">
        <v>500</v>
      </c>
      <c r="I409" s="101"/>
      <c r="J409" s="17">
        <v>4.7220000000000004</v>
      </c>
      <c r="K409" s="17">
        <v>6</v>
      </c>
      <c r="L409" s="18">
        <v>0.78700000000000003</v>
      </c>
      <c r="M409" s="19">
        <v>787</v>
      </c>
      <c r="N409" s="22" t="s">
        <v>1014</v>
      </c>
      <c r="O409" s="9"/>
      <c r="P409" s="9"/>
    </row>
    <row r="410" spans="1:16" s="5" customFormat="1" ht="12">
      <c r="A410" s="64" t="s">
        <v>114</v>
      </c>
      <c r="B410" s="64" t="s">
        <v>1017</v>
      </c>
      <c r="C410" s="19">
        <v>374</v>
      </c>
      <c r="D410" s="19">
        <v>365</v>
      </c>
      <c r="E410" s="19">
        <v>289</v>
      </c>
      <c r="F410" s="19">
        <v>88</v>
      </c>
      <c r="G410" s="19">
        <v>370</v>
      </c>
      <c r="H410" s="19">
        <v>196</v>
      </c>
      <c r="I410" s="101"/>
      <c r="J410" s="17">
        <v>2.2440000000000002</v>
      </c>
      <c r="K410" s="17">
        <v>6</v>
      </c>
      <c r="L410" s="18">
        <v>0.374</v>
      </c>
      <c r="M410" s="19">
        <v>374</v>
      </c>
      <c r="N410" s="22" t="s">
        <v>1018</v>
      </c>
      <c r="O410" s="9"/>
      <c r="P410" s="9"/>
    </row>
    <row r="411" spans="1:16" s="5" customFormat="1" ht="12">
      <c r="A411" s="64" t="s">
        <v>114</v>
      </c>
      <c r="B411" s="64" t="s">
        <v>1021</v>
      </c>
      <c r="C411" s="19">
        <v>956</v>
      </c>
      <c r="D411" s="19">
        <v>938</v>
      </c>
      <c r="E411" s="19">
        <v>779</v>
      </c>
      <c r="F411" s="19">
        <v>267</v>
      </c>
      <c r="G411" s="19">
        <v>938</v>
      </c>
      <c r="H411" s="19">
        <v>589</v>
      </c>
      <c r="I411" s="101"/>
      <c r="J411" s="17">
        <v>5.7359999999999998</v>
      </c>
      <c r="K411" s="17">
        <v>6</v>
      </c>
      <c r="L411" s="18">
        <v>0.95599999999999996</v>
      </c>
      <c r="M411" s="19">
        <v>956</v>
      </c>
      <c r="N411" s="22" t="s">
        <v>1022</v>
      </c>
      <c r="O411" s="9"/>
      <c r="P411" s="9"/>
    </row>
    <row r="412" spans="1:16" s="5" customFormat="1" ht="12">
      <c r="A412" s="64" t="s">
        <v>114</v>
      </c>
      <c r="B412" s="64" t="s">
        <v>1051</v>
      </c>
      <c r="C412" s="19">
        <v>371</v>
      </c>
      <c r="D412" s="19">
        <v>367</v>
      </c>
      <c r="E412" s="19">
        <v>287</v>
      </c>
      <c r="F412" s="19">
        <v>102</v>
      </c>
      <c r="G412" s="19">
        <v>366</v>
      </c>
      <c r="H412" s="19">
        <v>228</v>
      </c>
      <c r="I412" s="101"/>
      <c r="J412" s="17">
        <v>2.226</v>
      </c>
      <c r="K412" s="17">
        <v>6</v>
      </c>
      <c r="L412" s="18">
        <v>0.371</v>
      </c>
      <c r="M412" s="19">
        <v>371</v>
      </c>
      <c r="N412" s="22" t="s">
        <v>1052</v>
      </c>
      <c r="O412" s="9"/>
      <c r="P412" s="9"/>
    </row>
    <row r="413" spans="1:16" s="5" customFormat="1" ht="12">
      <c r="A413" s="65" t="s">
        <v>114</v>
      </c>
      <c r="B413" s="65" t="s">
        <v>1059</v>
      </c>
      <c r="C413" s="97">
        <v>1901</v>
      </c>
      <c r="D413" s="97">
        <v>1881</v>
      </c>
      <c r="E413" s="97">
        <v>1622</v>
      </c>
      <c r="F413" s="97">
        <v>563</v>
      </c>
      <c r="G413" s="97">
        <v>1880</v>
      </c>
      <c r="H413" s="97">
        <v>1211</v>
      </c>
      <c r="I413" s="98"/>
      <c r="J413" s="10">
        <f>+K413*L413</f>
        <v>11.406000000000001</v>
      </c>
      <c r="K413" s="11">
        <v>6</v>
      </c>
      <c r="L413" s="12">
        <f>+M413/1000</f>
        <v>1.901</v>
      </c>
      <c r="M413" s="13">
        <f>+C413</f>
        <v>1901</v>
      </c>
      <c r="N413" s="16" t="s">
        <v>1060</v>
      </c>
    </row>
    <row r="414" spans="1:16" s="5" customFormat="1" ht="12">
      <c r="A414" s="40" t="s">
        <v>114</v>
      </c>
      <c r="B414" s="40" t="s">
        <v>1198</v>
      </c>
      <c r="C414" s="97">
        <v>7091</v>
      </c>
      <c r="D414" s="97">
        <v>7000</v>
      </c>
      <c r="E414" s="97">
        <v>6198</v>
      </c>
      <c r="F414" s="97">
        <v>2695</v>
      </c>
      <c r="G414" s="97">
        <v>6999</v>
      </c>
      <c r="H414" s="97">
        <v>5314</v>
      </c>
      <c r="I414" s="98"/>
      <c r="J414" s="10">
        <f>+K414*L414</f>
        <v>42.545999999999999</v>
      </c>
      <c r="K414" s="11">
        <v>6</v>
      </c>
      <c r="L414" s="12">
        <f>+M414/1000</f>
        <v>7.0910000000000002</v>
      </c>
      <c r="M414" s="13">
        <f>+C414</f>
        <v>7091</v>
      </c>
      <c r="N414" s="16" t="s">
        <v>1199</v>
      </c>
    </row>
    <row r="415" spans="1:16" s="5" customFormat="1" ht="12">
      <c r="A415" s="40" t="s">
        <v>114</v>
      </c>
      <c r="B415" s="40" t="s">
        <v>1202</v>
      </c>
      <c r="C415" s="97">
        <v>6334</v>
      </c>
      <c r="D415" s="97">
        <v>6252</v>
      </c>
      <c r="E415" s="97">
        <v>5576</v>
      </c>
      <c r="F415" s="97">
        <v>1969</v>
      </c>
      <c r="G415" s="97">
        <v>6288</v>
      </c>
      <c r="H415" s="97">
        <v>4161</v>
      </c>
      <c r="I415" s="98"/>
      <c r="J415" s="10">
        <f>+K415*L415</f>
        <v>38.003999999999998</v>
      </c>
      <c r="K415" s="11">
        <v>6</v>
      </c>
      <c r="L415" s="12">
        <f>+M415/1000</f>
        <v>6.3339999999999996</v>
      </c>
      <c r="M415" s="13">
        <f>+C415</f>
        <v>6334</v>
      </c>
      <c r="N415" s="16" t="s">
        <v>1203</v>
      </c>
    </row>
    <row r="416" spans="1:16" s="5" customFormat="1" ht="12">
      <c r="A416" s="64" t="s">
        <v>114</v>
      </c>
      <c r="B416" s="64" t="s">
        <v>1233</v>
      </c>
      <c r="C416" s="19">
        <v>543</v>
      </c>
      <c r="D416" s="19">
        <v>533</v>
      </c>
      <c r="E416" s="19">
        <v>452</v>
      </c>
      <c r="F416" s="19">
        <v>158</v>
      </c>
      <c r="G416" s="19">
        <v>527</v>
      </c>
      <c r="H416" s="19">
        <v>332</v>
      </c>
      <c r="I416" s="101"/>
      <c r="J416" s="17">
        <v>3.258</v>
      </c>
      <c r="K416" s="17">
        <v>6</v>
      </c>
      <c r="L416" s="18">
        <v>0.54300000000000004</v>
      </c>
      <c r="M416" s="19">
        <v>543</v>
      </c>
      <c r="N416" s="22" t="s">
        <v>1234</v>
      </c>
      <c r="O416" s="9"/>
      <c r="P416" s="9"/>
    </row>
    <row r="417" spans="1:16" s="5" customFormat="1" ht="12">
      <c r="A417" s="40" t="s">
        <v>114</v>
      </c>
      <c r="B417" s="40" t="s">
        <v>114</v>
      </c>
      <c r="C417" s="97">
        <v>104179</v>
      </c>
      <c r="D417" s="97">
        <v>103751</v>
      </c>
      <c r="E417" s="97">
        <v>93301</v>
      </c>
      <c r="F417" s="97">
        <v>38018</v>
      </c>
      <c r="G417" s="97">
        <v>103561</v>
      </c>
      <c r="H417" s="97">
        <v>77030</v>
      </c>
      <c r="I417" s="98"/>
      <c r="J417" s="10">
        <f>+K417*L417</f>
        <v>208.358</v>
      </c>
      <c r="K417" s="11">
        <v>2</v>
      </c>
      <c r="L417" s="12">
        <f>+M417/1000</f>
        <v>104.179</v>
      </c>
      <c r="M417" s="13">
        <f>+C417</f>
        <v>104179</v>
      </c>
      <c r="N417" s="16" t="s">
        <v>1274</v>
      </c>
    </row>
    <row r="418" spans="1:16" s="5" customFormat="1" ht="12">
      <c r="A418" s="40" t="s">
        <v>114</v>
      </c>
      <c r="B418" s="40" t="s">
        <v>1279</v>
      </c>
      <c r="C418" s="97">
        <v>4086</v>
      </c>
      <c r="D418" s="97">
        <v>4050</v>
      </c>
      <c r="E418" s="97">
        <v>3509</v>
      </c>
      <c r="F418" s="97">
        <v>1444</v>
      </c>
      <c r="G418" s="97">
        <v>4049</v>
      </c>
      <c r="H418" s="97">
        <v>2853</v>
      </c>
      <c r="I418" s="98"/>
      <c r="J418" s="10">
        <f>+K418*L418</f>
        <v>24.516000000000002</v>
      </c>
      <c r="K418" s="11">
        <v>6</v>
      </c>
      <c r="L418" s="12">
        <f>+M418/1000</f>
        <v>4.0860000000000003</v>
      </c>
      <c r="M418" s="13">
        <f>+C418</f>
        <v>4086</v>
      </c>
      <c r="N418" s="16" t="s">
        <v>1280</v>
      </c>
    </row>
    <row r="419" spans="1:16" s="5" customFormat="1" ht="12">
      <c r="A419" s="64" t="s">
        <v>114</v>
      </c>
      <c r="B419" s="64" t="s">
        <v>1294</v>
      </c>
      <c r="C419" s="19">
        <v>461</v>
      </c>
      <c r="D419" s="19">
        <v>447</v>
      </c>
      <c r="E419" s="19">
        <v>363</v>
      </c>
      <c r="F419" s="19">
        <v>128</v>
      </c>
      <c r="G419" s="19">
        <v>454</v>
      </c>
      <c r="H419" s="19">
        <v>293</v>
      </c>
      <c r="I419" s="101"/>
      <c r="J419" s="17">
        <v>2.766</v>
      </c>
      <c r="K419" s="17">
        <v>6</v>
      </c>
      <c r="L419" s="18">
        <v>0.46100000000000002</v>
      </c>
      <c r="M419" s="19">
        <v>461</v>
      </c>
      <c r="N419" s="22" t="s">
        <v>1295</v>
      </c>
      <c r="O419" s="9"/>
      <c r="P419" s="9"/>
    </row>
    <row r="420" spans="1:16" s="5" customFormat="1" ht="12">
      <c r="A420" s="40" t="s">
        <v>114</v>
      </c>
      <c r="B420" s="40" t="s">
        <v>1322</v>
      </c>
      <c r="C420" s="97">
        <v>1314</v>
      </c>
      <c r="D420" s="97">
        <v>1290</v>
      </c>
      <c r="E420" s="97">
        <v>1127</v>
      </c>
      <c r="F420" s="97">
        <v>338</v>
      </c>
      <c r="G420" s="97">
        <v>1290</v>
      </c>
      <c r="H420" s="97">
        <v>790</v>
      </c>
      <c r="I420" s="98"/>
      <c r="J420" s="10">
        <f>+K420*L420</f>
        <v>7.8840000000000003</v>
      </c>
      <c r="K420" s="11">
        <v>6</v>
      </c>
      <c r="L420" s="12">
        <f>+M420/1000</f>
        <v>1.3140000000000001</v>
      </c>
      <c r="M420" s="13">
        <f>+C420</f>
        <v>1314</v>
      </c>
      <c r="N420" s="16" t="s">
        <v>1323</v>
      </c>
    </row>
    <row r="421" spans="1:16" s="5" customFormat="1" ht="12">
      <c r="A421" s="64" t="s">
        <v>114</v>
      </c>
      <c r="B421" s="64" t="s">
        <v>1338</v>
      </c>
      <c r="C421" s="19">
        <v>459</v>
      </c>
      <c r="D421" s="19">
        <v>452</v>
      </c>
      <c r="E421" s="19">
        <v>353</v>
      </c>
      <c r="F421" s="19">
        <v>106</v>
      </c>
      <c r="G421" s="19">
        <v>454</v>
      </c>
      <c r="H421" s="19">
        <v>260</v>
      </c>
      <c r="I421" s="101"/>
      <c r="J421" s="17">
        <v>2.754</v>
      </c>
      <c r="K421" s="17">
        <v>6</v>
      </c>
      <c r="L421" s="18">
        <v>0.45900000000000002</v>
      </c>
      <c r="M421" s="19">
        <v>459</v>
      </c>
      <c r="N421" s="22" t="s">
        <v>1339</v>
      </c>
      <c r="O421" s="9"/>
      <c r="P421" s="9"/>
    </row>
    <row r="422" spans="1:16" s="5" customFormat="1" ht="12">
      <c r="A422" s="64" t="s">
        <v>114</v>
      </c>
      <c r="B422" s="64" t="s">
        <v>1383</v>
      </c>
      <c r="C422" s="19">
        <v>449</v>
      </c>
      <c r="D422" s="19">
        <v>439</v>
      </c>
      <c r="E422" s="19">
        <v>362</v>
      </c>
      <c r="F422" s="19">
        <v>127</v>
      </c>
      <c r="G422" s="19">
        <v>439</v>
      </c>
      <c r="H422" s="19">
        <v>251</v>
      </c>
      <c r="I422" s="101"/>
      <c r="J422" s="17">
        <v>2.694</v>
      </c>
      <c r="K422" s="17">
        <v>6</v>
      </c>
      <c r="L422" s="18">
        <v>0.44900000000000001</v>
      </c>
      <c r="M422" s="19">
        <v>449</v>
      </c>
      <c r="N422" s="22" t="s">
        <v>1384</v>
      </c>
      <c r="O422" s="9"/>
      <c r="P422" s="9"/>
    </row>
    <row r="423" spans="1:16" s="5" customFormat="1" ht="12">
      <c r="A423" s="64" t="s">
        <v>114</v>
      </c>
      <c r="B423" s="64" t="s">
        <v>1385</v>
      </c>
      <c r="C423" s="19">
        <v>668</v>
      </c>
      <c r="D423" s="19">
        <v>660</v>
      </c>
      <c r="E423" s="19">
        <v>568</v>
      </c>
      <c r="F423" s="19">
        <v>191</v>
      </c>
      <c r="G423" s="19">
        <v>655</v>
      </c>
      <c r="H423" s="19">
        <v>405</v>
      </c>
      <c r="I423" s="101"/>
      <c r="J423" s="17">
        <v>4.008</v>
      </c>
      <c r="K423" s="17">
        <v>6</v>
      </c>
      <c r="L423" s="18">
        <v>0.66800000000000004</v>
      </c>
      <c r="M423" s="19">
        <v>668</v>
      </c>
      <c r="N423" s="22" t="s">
        <v>1386</v>
      </c>
      <c r="O423" s="9"/>
      <c r="P423" s="9"/>
    </row>
    <row r="424" spans="1:16" s="5" customFormat="1" ht="12">
      <c r="A424" s="64" t="s">
        <v>114</v>
      </c>
      <c r="B424" s="64" t="s">
        <v>1387</v>
      </c>
      <c r="C424" s="19">
        <v>338</v>
      </c>
      <c r="D424" s="19">
        <v>329</v>
      </c>
      <c r="E424" s="19">
        <v>255</v>
      </c>
      <c r="F424" s="19">
        <v>62</v>
      </c>
      <c r="G424" s="19">
        <v>332</v>
      </c>
      <c r="H424" s="19">
        <v>156</v>
      </c>
      <c r="I424" s="101"/>
      <c r="J424" s="17">
        <v>2.028</v>
      </c>
      <c r="K424" s="17">
        <v>6</v>
      </c>
      <c r="L424" s="18">
        <v>0.33800000000000002</v>
      </c>
      <c r="M424" s="19">
        <v>338</v>
      </c>
      <c r="N424" s="22" t="s">
        <v>1388</v>
      </c>
      <c r="O424" s="9"/>
      <c r="P424" s="9"/>
    </row>
    <row r="425" spans="1:16" s="1" customFormat="1" ht="12">
      <c r="A425" s="40" t="s">
        <v>114</v>
      </c>
      <c r="B425" s="40" t="s">
        <v>1393</v>
      </c>
      <c r="C425" s="97">
        <v>5174</v>
      </c>
      <c r="D425" s="97">
        <v>5119</v>
      </c>
      <c r="E425" s="97">
        <v>4522</v>
      </c>
      <c r="F425" s="97">
        <v>1589</v>
      </c>
      <c r="G425" s="97">
        <v>5132</v>
      </c>
      <c r="H425" s="97">
        <v>3344</v>
      </c>
      <c r="I425" s="98"/>
      <c r="J425" s="10">
        <f>+K425*L425</f>
        <v>31.044000000000004</v>
      </c>
      <c r="K425" s="11">
        <v>6</v>
      </c>
      <c r="L425" s="12">
        <f>+M425/1000</f>
        <v>5.1740000000000004</v>
      </c>
      <c r="M425" s="13">
        <f>+C425</f>
        <v>5174</v>
      </c>
      <c r="N425" s="29" t="s">
        <v>1394</v>
      </c>
      <c r="O425" s="5"/>
      <c r="P425" s="5"/>
    </row>
    <row r="426" spans="1:16" s="5" customFormat="1" ht="12">
      <c r="A426" s="64" t="s">
        <v>114</v>
      </c>
      <c r="B426" s="64" t="s">
        <v>1408</v>
      </c>
      <c r="C426" s="19">
        <v>1551</v>
      </c>
      <c r="D426" s="19">
        <v>1520</v>
      </c>
      <c r="E426" s="19">
        <v>1261</v>
      </c>
      <c r="F426" s="19">
        <v>461</v>
      </c>
      <c r="G426" s="19">
        <v>1517</v>
      </c>
      <c r="H426" s="19">
        <v>984</v>
      </c>
      <c r="I426" s="101"/>
      <c r="J426" s="17">
        <v>9.3059999999999992</v>
      </c>
      <c r="K426" s="17">
        <v>6</v>
      </c>
      <c r="L426" s="18">
        <v>1.5509999999999999</v>
      </c>
      <c r="M426" s="19">
        <v>1551</v>
      </c>
      <c r="N426" s="22" t="s">
        <v>1409</v>
      </c>
      <c r="O426" s="9"/>
      <c r="P426" s="9"/>
    </row>
    <row r="427" spans="1:16" s="5" customFormat="1" ht="12">
      <c r="A427" s="64" t="s">
        <v>114</v>
      </c>
      <c r="B427" s="64" t="s">
        <v>1420</v>
      </c>
      <c r="C427" s="19">
        <v>325</v>
      </c>
      <c r="D427" s="19">
        <v>317</v>
      </c>
      <c r="E427" s="19">
        <v>238</v>
      </c>
      <c r="F427" s="19">
        <v>71</v>
      </c>
      <c r="G427" s="19">
        <v>317</v>
      </c>
      <c r="H427" s="19">
        <v>172</v>
      </c>
      <c r="I427" s="101"/>
      <c r="J427" s="17">
        <v>1.95</v>
      </c>
      <c r="K427" s="17">
        <v>6</v>
      </c>
      <c r="L427" s="18">
        <v>0.32500000000000001</v>
      </c>
      <c r="M427" s="19">
        <v>325</v>
      </c>
      <c r="N427" s="22" t="s">
        <v>1421</v>
      </c>
      <c r="O427" s="9"/>
      <c r="P427" s="9"/>
    </row>
    <row r="428" spans="1:16" s="5" customFormat="1" ht="12">
      <c r="A428" s="64" t="s">
        <v>114</v>
      </c>
      <c r="B428" s="64" t="s">
        <v>1488</v>
      </c>
      <c r="C428" s="19">
        <v>1201</v>
      </c>
      <c r="D428" s="19">
        <v>1181</v>
      </c>
      <c r="E428" s="19">
        <v>994</v>
      </c>
      <c r="F428" s="19">
        <v>371</v>
      </c>
      <c r="G428" s="19">
        <v>1184</v>
      </c>
      <c r="H428" s="19">
        <v>782</v>
      </c>
      <c r="I428" s="101"/>
      <c r="J428" s="17">
        <v>7.2060000000000004</v>
      </c>
      <c r="K428" s="17">
        <v>6</v>
      </c>
      <c r="L428" s="18">
        <v>1.2010000000000001</v>
      </c>
      <c r="M428" s="19">
        <v>1201</v>
      </c>
      <c r="N428" s="22" t="s">
        <v>1489</v>
      </c>
      <c r="O428" s="9"/>
      <c r="P428" s="9"/>
    </row>
    <row r="429" spans="1:16" s="5" customFormat="1" ht="12">
      <c r="A429" s="40" t="s">
        <v>114</v>
      </c>
      <c r="B429" s="40" t="s">
        <v>1491</v>
      </c>
      <c r="C429" s="97">
        <v>3383</v>
      </c>
      <c r="D429" s="97">
        <v>3329</v>
      </c>
      <c r="E429" s="97">
        <v>2848</v>
      </c>
      <c r="F429" s="97">
        <v>820</v>
      </c>
      <c r="G429" s="97">
        <v>3347</v>
      </c>
      <c r="H429" s="97">
        <v>2000</v>
      </c>
      <c r="I429" s="98"/>
      <c r="J429" s="10">
        <f t="shared" ref="J429:J435" si="27">+K429*L429</f>
        <v>20.298000000000002</v>
      </c>
      <c r="K429" s="11">
        <v>6</v>
      </c>
      <c r="L429" s="12">
        <f t="shared" ref="L429:L435" si="28">+M429/1000</f>
        <v>3.383</v>
      </c>
      <c r="M429" s="13">
        <f t="shared" ref="M429:M435" si="29">+C429</f>
        <v>3383</v>
      </c>
      <c r="N429" s="16" t="s">
        <v>1492</v>
      </c>
    </row>
    <row r="430" spans="1:16" s="5" customFormat="1" ht="12">
      <c r="A430" s="40" t="s">
        <v>114</v>
      </c>
      <c r="B430" s="40" t="s">
        <v>1511</v>
      </c>
      <c r="C430" s="97">
        <v>2753</v>
      </c>
      <c r="D430" s="97">
        <v>2710</v>
      </c>
      <c r="E430" s="97">
        <v>2374</v>
      </c>
      <c r="F430" s="97">
        <v>833</v>
      </c>
      <c r="G430" s="97">
        <v>2707</v>
      </c>
      <c r="H430" s="97">
        <v>1777</v>
      </c>
      <c r="I430" s="98"/>
      <c r="J430" s="10">
        <f t="shared" si="27"/>
        <v>16.518000000000001</v>
      </c>
      <c r="K430" s="11">
        <v>6</v>
      </c>
      <c r="L430" s="12">
        <f t="shared" si="28"/>
        <v>2.7530000000000001</v>
      </c>
      <c r="M430" s="13">
        <f t="shared" si="29"/>
        <v>2753</v>
      </c>
      <c r="N430" s="16" t="s">
        <v>1512</v>
      </c>
    </row>
    <row r="431" spans="1:16" s="5" customFormat="1" ht="12">
      <c r="A431" s="40" t="s">
        <v>114</v>
      </c>
      <c r="B431" s="40" t="s">
        <v>1555</v>
      </c>
      <c r="C431" s="97">
        <v>556</v>
      </c>
      <c r="D431" s="97">
        <v>550</v>
      </c>
      <c r="E431" s="97">
        <v>468</v>
      </c>
      <c r="F431" s="97">
        <v>159</v>
      </c>
      <c r="G431" s="97">
        <v>545</v>
      </c>
      <c r="H431" s="97">
        <v>320</v>
      </c>
      <c r="I431" s="98"/>
      <c r="J431" s="10">
        <f t="shared" si="27"/>
        <v>3.3360000000000003</v>
      </c>
      <c r="K431" s="11">
        <v>6</v>
      </c>
      <c r="L431" s="12">
        <f t="shared" si="28"/>
        <v>0.55600000000000005</v>
      </c>
      <c r="M431" s="13">
        <f t="shared" si="29"/>
        <v>556</v>
      </c>
      <c r="N431" s="16" t="s">
        <v>1556</v>
      </c>
    </row>
    <row r="432" spans="1:16" s="5" customFormat="1" ht="12">
      <c r="A432" s="40" t="s">
        <v>114</v>
      </c>
      <c r="B432" s="40" t="s">
        <v>1957</v>
      </c>
      <c r="C432" s="97">
        <v>3847</v>
      </c>
      <c r="D432" s="97">
        <v>3785</v>
      </c>
      <c r="E432" s="97">
        <v>3349</v>
      </c>
      <c r="F432" s="97">
        <v>1342</v>
      </c>
      <c r="G432" s="97">
        <v>3822</v>
      </c>
      <c r="H432" s="97">
        <v>2758</v>
      </c>
      <c r="I432" s="98"/>
      <c r="J432" s="10">
        <f t="shared" si="27"/>
        <v>23.082000000000001</v>
      </c>
      <c r="K432" s="11">
        <v>6</v>
      </c>
      <c r="L432" s="12">
        <f t="shared" si="28"/>
        <v>3.847</v>
      </c>
      <c r="M432" s="13">
        <f t="shared" si="29"/>
        <v>3847</v>
      </c>
      <c r="N432" s="16" t="s">
        <v>1600</v>
      </c>
    </row>
    <row r="433" spans="1:16" s="5" customFormat="1" ht="12">
      <c r="A433" s="40" t="s">
        <v>114</v>
      </c>
      <c r="B433" s="40" t="s">
        <v>1633</v>
      </c>
      <c r="C433" s="97">
        <v>2360</v>
      </c>
      <c r="D433" s="97">
        <v>2332</v>
      </c>
      <c r="E433" s="97">
        <v>2028</v>
      </c>
      <c r="F433" s="97">
        <v>763</v>
      </c>
      <c r="G433" s="97">
        <v>2331</v>
      </c>
      <c r="H433" s="97">
        <v>1676</v>
      </c>
      <c r="I433" s="98"/>
      <c r="J433" s="10">
        <f t="shared" si="27"/>
        <v>14.16</v>
      </c>
      <c r="K433" s="11">
        <v>6</v>
      </c>
      <c r="L433" s="12">
        <f t="shared" si="28"/>
        <v>2.36</v>
      </c>
      <c r="M433" s="13">
        <f t="shared" si="29"/>
        <v>2360</v>
      </c>
      <c r="N433" s="16" t="s">
        <v>1634</v>
      </c>
    </row>
    <row r="434" spans="1:16" s="5" customFormat="1" ht="12">
      <c r="A434" s="40" t="s">
        <v>114</v>
      </c>
      <c r="B434" s="40" t="s">
        <v>1645</v>
      </c>
      <c r="C434" s="97">
        <v>1372</v>
      </c>
      <c r="D434" s="97">
        <v>1342</v>
      </c>
      <c r="E434" s="97">
        <v>1077</v>
      </c>
      <c r="F434" s="97">
        <v>397</v>
      </c>
      <c r="G434" s="97">
        <v>1354</v>
      </c>
      <c r="H434" s="97">
        <v>858</v>
      </c>
      <c r="I434" s="98"/>
      <c r="J434" s="10">
        <f t="shared" si="27"/>
        <v>8.2320000000000011</v>
      </c>
      <c r="K434" s="11">
        <v>6</v>
      </c>
      <c r="L434" s="12">
        <f t="shared" si="28"/>
        <v>1.3720000000000001</v>
      </c>
      <c r="M434" s="13">
        <f t="shared" si="29"/>
        <v>1372</v>
      </c>
      <c r="N434" s="16" t="s">
        <v>1646</v>
      </c>
    </row>
    <row r="435" spans="1:16" s="5" customFormat="1" ht="12">
      <c r="A435" s="40" t="s">
        <v>114</v>
      </c>
      <c r="B435" s="40" t="s">
        <v>1647</v>
      </c>
      <c r="C435" s="97">
        <v>1090</v>
      </c>
      <c r="D435" s="97">
        <v>1059</v>
      </c>
      <c r="E435" s="97">
        <v>882</v>
      </c>
      <c r="F435" s="97">
        <v>271</v>
      </c>
      <c r="G435" s="97">
        <v>1074</v>
      </c>
      <c r="H435" s="97">
        <v>677</v>
      </c>
      <c r="I435" s="98"/>
      <c r="J435" s="10">
        <f t="shared" si="27"/>
        <v>6.5400000000000009</v>
      </c>
      <c r="K435" s="11">
        <v>6</v>
      </c>
      <c r="L435" s="12">
        <f t="shared" si="28"/>
        <v>1.0900000000000001</v>
      </c>
      <c r="M435" s="13">
        <f t="shared" si="29"/>
        <v>1090</v>
      </c>
      <c r="N435" s="16" t="s">
        <v>1648</v>
      </c>
    </row>
    <row r="436" spans="1:16" s="5" customFormat="1" ht="12">
      <c r="A436" s="64" t="s">
        <v>114</v>
      </c>
      <c r="B436" s="64" t="s">
        <v>1649</v>
      </c>
      <c r="C436" s="19">
        <v>623</v>
      </c>
      <c r="D436" s="19">
        <v>611</v>
      </c>
      <c r="E436" s="19">
        <v>482</v>
      </c>
      <c r="F436" s="19">
        <v>146</v>
      </c>
      <c r="G436" s="19">
        <v>616</v>
      </c>
      <c r="H436" s="19">
        <v>331</v>
      </c>
      <c r="I436" s="101"/>
      <c r="J436" s="17">
        <v>3.738</v>
      </c>
      <c r="K436" s="17">
        <v>6</v>
      </c>
      <c r="L436" s="18">
        <v>0.623</v>
      </c>
      <c r="M436" s="19">
        <v>623</v>
      </c>
      <c r="N436" s="22" t="s">
        <v>1650</v>
      </c>
      <c r="O436" s="9"/>
      <c r="P436" s="9"/>
    </row>
    <row r="437" spans="1:16" s="5" customFormat="1" ht="12">
      <c r="A437" s="40" t="s">
        <v>114</v>
      </c>
      <c r="B437" s="40" t="s">
        <v>1653</v>
      </c>
      <c r="C437" s="97">
        <v>4571</v>
      </c>
      <c r="D437" s="97">
        <v>4537</v>
      </c>
      <c r="E437" s="97">
        <v>4037</v>
      </c>
      <c r="F437" s="97">
        <v>1587</v>
      </c>
      <c r="G437" s="97">
        <v>4554</v>
      </c>
      <c r="H437" s="97">
        <v>3337</v>
      </c>
      <c r="I437" s="98"/>
      <c r="J437" s="10">
        <f>+K437*L437</f>
        <v>27.425999999999998</v>
      </c>
      <c r="K437" s="11">
        <v>6</v>
      </c>
      <c r="L437" s="12">
        <f>+M437/1000</f>
        <v>4.5709999999999997</v>
      </c>
      <c r="M437" s="13">
        <f>+C437</f>
        <v>4571</v>
      </c>
      <c r="N437" s="16" t="s">
        <v>1654</v>
      </c>
    </row>
    <row r="438" spans="1:16" s="5" customFormat="1" ht="12">
      <c r="A438" s="40" t="s">
        <v>114</v>
      </c>
      <c r="B438" s="40" t="s">
        <v>1741</v>
      </c>
      <c r="C438" s="97">
        <v>604</v>
      </c>
      <c r="D438" s="97">
        <v>600</v>
      </c>
      <c r="E438" s="97">
        <v>481</v>
      </c>
      <c r="F438" s="97">
        <v>162</v>
      </c>
      <c r="G438" s="97">
        <v>595</v>
      </c>
      <c r="H438" s="97">
        <v>338</v>
      </c>
      <c r="I438" s="98"/>
      <c r="J438" s="10">
        <f>+K438*L438</f>
        <v>3.6239999999999997</v>
      </c>
      <c r="K438" s="11">
        <v>6</v>
      </c>
      <c r="L438" s="12">
        <f>+M438/1000</f>
        <v>0.60399999999999998</v>
      </c>
      <c r="M438" s="13">
        <f>+C438</f>
        <v>604</v>
      </c>
      <c r="N438" s="16" t="s">
        <v>1742</v>
      </c>
    </row>
    <row r="439" spans="1:16" s="5" customFormat="1" ht="12">
      <c r="A439" s="64" t="s">
        <v>114</v>
      </c>
      <c r="B439" s="64" t="s">
        <v>1754</v>
      </c>
      <c r="C439" s="19">
        <v>515</v>
      </c>
      <c r="D439" s="19">
        <v>507</v>
      </c>
      <c r="E439" s="19">
        <v>412</v>
      </c>
      <c r="F439" s="19">
        <v>125</v>
      </c>
      <c r="G439" s="19">
        <v>509</v>
      </c>
      <c r="H439" s="19">
        <v>301</v>
      </c>
      <c r="I439" s="101"/>
      <c r="J439" s="17">
        <v>3.09</v>
      </c>
      <c r="K439" s="17">
        <v>6</v>
      </c>
      <c r="L439" s="18">
        <v>0.51500000000000001</v>
      </c>
      <c r="M439" s="19">
        <v>515</v>
      </c>
      <c r="N439" s="22" t="s">
        <v>1755</v>
      </c>
      <c r="O439" s="9"/>
      <c r="P439" s="9"/>
    </row>
    <row r="440" spans="1:16" s="5" customFormat="1" ht="12">
      <c r="A440" s="64" t="s">
        <v>114</v>
      </c>
      <c r="B440" s="64" t="s">
        <v>1801</v>
      </c>
      <c r="C440" s="19">
        <v>4529</v>
      </c>
      <c r="D440" s="19">
        <v>4454</v>
      </c>
      <c r="E440" s="19">
        <v>3885</v>
      </c>
      <c r="F440" s="19">
        <v>1343</v>
      </c>
      <c r="G440" s="19">
        <v>4466</v>
      </c>
      <c r="H440" s="19">
        <v>2954</v>
      </c>
      <c r="I440" s="101"/>
      <c r="J440" s="17">
        <v>27.173999999999999</v>
      </c>
      <c r="K440" s="17">
        <v>6</v>
      </c>
      <c r="L440" s="18">
        <v>4.5289999999999999</v>
      </c>
      <c r="M440" s="19">
        <v>4529</v>
      </c>
      <c r="N440" s="22" t="s">
        <v>1802</v>
      </c>
      <c r="O440" s="9"/>
      <c r="P440" s="9"/>
    </row>
    <row r="441" spans="1:16" s="5" customFormat="1" ht="12">
      <c r="A441" s="64" t="s">
        <v>114</v>
      </c>
      <c r="B441" s="64" t="s">
        <v>1803</v>
      </c>
      <c r="C441" s="19">
        <v>519</v>
      </c>
      <c r="D441" s="19">
        <v>508</v>
      </c>
      <c r="E441" s="19">
        <v>439</v>
      </c>
      <c r="F441" s="19">
        <v>137</v>
      </c>
      <c r="G441" s="19">
        <v>514</v>
      </c>
      <c r="H441" s="19">
        <v>289</v>
      </c>
      <c r="I441" s="101"/>
      <c r="J441" s="17">
        <v>3.1139999999999999</v>
      </c>
      <c r="K441" s="17">
        <v>6</v>
      </c>
      <c r="L441" s="18">
        <v>0.51900000000000002</v>
      </c>
      <c r="M441" s="19">
        <v>519</v>
      </c>
      <c r="N441" s="22" t="s">
        <v>1804</v>
      </c>
      <c r="O441" s="9"/>
      <c r="P441" s="9"/>
    </row>
    <row r="442" spans="1:16" s="5" customFormat="1" ht="12">
      <c r="A442" s="64" t="s">
        <v>114</v>
      </c>
      <c r="B442" s="64" t="s">
        <v>1819</v>
      </c>
      <c r="C442" s="19">
        <v>2881</v>
      </c>
      <c r="D442" s="19">
        <v>2836</v>
      </c>
      <c r="E442" s="19">
        <v>2382</v>
      </c>
      <c r="F442" s="19">
        <v>990</v>
      </c>
      <c r="G442" s="19">
        <v>2815</v>
      </c>
      <c r="H442" s="19">
        <v>1976</v>
      </c>
      <c r="I442" s="101"/>
      <c r="J442" s="17">
        <v>17.286000000000001</v>
      </c>
      <c r="K442" s="17">
        <v>6</v>
      </c>
      <c r="L442" s="18">
        <v>2.8809999999999998</v>
      </c>
      <c r="M442" s="19">
        <v>2881</v>
      </c>
      <c r="N442" s="22" t="s">
        <v>1820</v>
      </c>
      <c r="O442" s="9"/>
      <c r="P442" s="9"/>
    </row>
    <row r="443" spans="1:16" s="5" customFormat="1" ht="12">
      <c r="A443" s="64" t="s">
        <v>114</v>
      </c>
      <c r="B443" s="64" t="s">
        <v>1835</v>
      </c>
      <c r="C443" s="19">
        <v>699</v>
      </c>
      <c r="D443" s="19">
        <v>688</v>
      </c>
      <c r="E443" s="19">
        <v>575</v>
      </c>
      <c r="F443" s="19">
        <v>194</v>
      </c>
      <c r="G443" s="19">
        <v>688</v>
      </c>
      <c r="H443" s="19">
        <v>412</v>
      </c>
      <c r="I443" s="101"/>
      <c r="J443" s="17">
        <v>4.194</v>
      </c>
      <c r="K443" s="17">
        <v>6</v>
      </c>
      <c r="L443" s="18">
        <v>0.69899999999999995</v>
      </c>
      <c r="M443" s="19">
        <v>699</v>
      </c>
      <c r="N443" s="22" t="s">
        <v>1836</v>
      </c>
      <c r="O443" s="9"/>
      <c r="P443" s="9"/>
    </row>
    <row r="444" spans="1:16" s="5" customFormat="1" ht="12">
      <c r="A444" s="40" t="s">
        <v>114</v>
      </c>
      <c r="B444" s="40" t="s">
        <v>1837</v>
      </c>
      <c r="C444" s="97">
        <v>3233</v>
      </c>
      <c r="D444" s="97">
        <v>3177</v>
      </c>
      <c r="E444" s="97">
        <v>2821</v>
      </c>
      <c r="F444" s="97">
        <v>1000</v>
      </c>
      <c r="G444" s="97">
        <v>3218</v>
      </c>
      <c r="H444" s="97">
        <v>2122</v>
      </c>
      <c r="I444" s="98"/>
      <c r="J444" s="10">
        <f>+K444*L444</f>
        <v>19.398</v>
      </c>
      <c r="K444" s="11">
        <v>6</v>
      </c>
      <c r="L444" s="12">
        <f>+M444/1000</f>
        <v>3.2330000000000001</v>
      </c>
      <c r="M444" s="13">
        <f>+C444</f>
        <v>3233</v>
      </c>
      <c r="N444" s="16" t="s">
        <v>1838</v>
      </c>
    </row>
    <row r="445" spans="1:16" s="5" customFormat="1" ht="12">
      <c r="A445" s="64" t="s">
        <v>114</v>
      </c>
      <c r="B445" s="64" t="s">
        <v>1855</v>
      </c>
      <c r="C445" s="19">
        <v>612</v>
      </c>
      <c r="D445" s="19">
        <v>603</v>
      </c>
      <c r="E445" s="19">
        <v>502</v>
      </c>
      <c r="F445" s="19">
        <v>154</v>
      </c>
      <c r="G445" s="19">
        <v>601</v>
      </c>
      <c r="H445" s="19">
        <v>352</v>
      </c>
      <c r="I445" s="101"/>
      <c r="J445" s="17">
        <v>3.6720000000000002</v>
      </c>
      <c r="K445" s="17">
        <v>6</v>
      </c>
      <c r="L445" s="18">
        <v>0.61199999999999999</v>
      </c>
      <c r="M445" s="19">
        <v>612</v>
      </c>
      <c r="N445" s="22" t="s">
        <v>1856</v>
      </c>
      <c r="O445" s="9"/>
      <c r="P445" s="9"/>
    </row>
    <row r="446" spans="1:16" s="5" customFormat="1" ht="12">
      <c r="A446" s="64" t="s">
        <v>114</v>
      </c>
      <c r="B446" s="64" t="s">
        <v>1883</v>
      </c>
      <c r="C446" s="19">
        <v>541</v>
      </c>
      <c r="D446" s="19">
        <v>532</v>
      </c>
      <c r="E446" s="19">
        <v>423</v>
      </c>
      <c r="F446" s="19">
        <v>118</v>
      </c>
      <c r="G446" s="19">
        <v>527</v>
      </c>
      <c r="H446" s="19">
        <v>310</v>
      </c>
      <c r="I446" s="101"/>
      <c r="J446" s="17">
        <v>3.246</v>
      </c>
      <c r="K446" s="17">
        <v>6</v>
      </c>
      <c r="L446" s="18">
        <v>0.54100000000000004</v>
      </c>
      <c r="M446" s="19">
        <v>541</v>
      </c>
      <c r="N446" s="22" t="s">
        <v>1884</v>
      </c>
      <c r="O446" s="9"/>
      <c r="P446" s="9"/>
    </row>
    <row r="447" spans="1:16" s="5" customFormat="1" ht="12">
      <c r="A447" s="64" t="s">
        <v>114</v>
      </c>
      <c r="B447" s="64" t="s">
        <v>1887</v>
      </c>
      <c r="C447" s="19">
        <v>1206</v>
      </c>
      <c r="D447" s="19">
        <v>1185</v>
      </c>
      <c r="E447" s="19">
        <v>990</v>
      </c>
      <c r="F447" s="19">
        <v>360</v>
      </c>
      <c r="G447" s="19">
        <v>1183</v>
      </c>
      <c r="H447" s="19">
        <v>779</v>
      </c>
      <c r="I447" s="101"/>
      <c r="J447" s="17">
        <v>7.2359999999999998</v>
      </c>
      <c r="K447" s="17">
        <v>6</v>
      </c>
      <c r="L447" s="18">
        <v>1.206</v>
      </c>
      <c r="M447" s="19">
        <v>1206</v>
      </c>
      <c r="N447" s="22" t="s">
        <v>1888</v>
      </c>
      <c r="O447" s="9"/>
      <c r="P447" s="9"/>
    </row>
    <row r="448" spans="1:16" s="5" customFormat="1" ht="12">
      <c r="A448" s="64" t="s">
        <v>114</v>
      </c>
      <c r="B448" s="64" t="s">
        <v>1893</v>
      </c>
      <c r="C448" s="19">
        <v>892</v>
      </c>
      <c r="D448" s="19">
        <v>881</v>
      </c>
      <c r="E448" s="19">
        <v>735</v>
      </c>
      <c r="F448" s="19">
        <v>293</v>
      </c>
      <c r="G448" s="19">
        <v>884</v>
      </c>
      <c r="H448" s="19">
        <v>599</v>
      </c>
      <c r="I448" s="101"/>
      <c r="J448" s="17">
        <v>5.3520000000000003</v>
      </c>
      <c r="K448" s="17">
        <v>6</v>
      </c>
      <c r="L448" s="18">
        <v>0.89200000000000002</v>
      </c>
      <c r="M448" s="19">
        <v>892</v>
      </c>
      <c r="N448" s="22" t="s">
        <v>1894</v>
      </c>
      <c r="O448" s="9"/>
      <c r="P448" s="9"/>
    </row>
    <row r="449" spans="1:16" s="5" customFormat="1" ht="12">
      <c r="A449" s="64" t="s">
        <v>114</v>
      </c>
      <c r="B449" s="64" t="s">
        <v>1897</v>
      </c>
      <c r="C449" s="19">
        <v>419</v>
      </c>
      <c r="D449" s="19">
        <v>407</v>
      </c>
      <c r="E449" s="19">
        <v>339</v>
      </c>
      <c r="F449" s="19">
        <v>95</v>
      </c>
      <c r="G449" s="19">
        <v>411</v>
      </c>
      <c r="H449" s="19">
        <v>197</v>
      </c>
      <c r="I449" s="101"/>
      <c r="J449" s="17">
        <v>2.5139999999999998</v>
      </c>
      <c r="K449" s="17">
        <v>6</v>
      </c>
      <c r="L449" s="18">
        <v>0.41899999999999998</v>
      </c>
      <c r="M449" s="19">
        <v>419</v>
      </c>
      <c r="N449" s="22" t="s">
        <v>1898</v>
      </c>
      <c r="O449" s="9"/>
      <c r="P449" s="9"/>
    </row>
    <row r="450" spans="1:16" s="5" customFormat="1" ht="12">
      <c r="A450" s="40" t="s">
        <v>206</v>
      </c>
      <c r="B450" s="40" t="s">
        <v>936</v>
      </c>
      <c r="C450" s="97">
        <v>3314</v>
      </c>
      <c r="D450" s="97">
        <v>3247</v>
      </c>
      <c r="E450" s="97">
        <v>2870</v>
      </c>
      <c r="F450" s="97">
        <v>1065</v>
      </c>
      <c r="G450" s="97">
        <v>3289</v>
      </c>
      <c r="H450" s="97">
        <v>2294</v>
      </c>
      <c r="I450" s="98"/>
      <c r="J450" s="10">
        <f>+K450*L450</f>
        <v>19.884</v>
      </c>
      <c r="K450" s="11">
        <v>6</v>
      </c>
      <c r="L450" s="12">
        <f>+M450/1000</f>
        <v>3.3140000000000001</v>
      </c>
      <c r="M450" s="13">
        <f>+C450</f>
        <v>3314</v>
      </c>
      <c r="N450" s="16" t="s">
        <v>937</v>
      </c>
    </row>
    <row r="451" spans="1:16" s="5" customFormat="1" ht="12">
      <c r="A451" s="40" t="s">
        <v>206</v>
      </c>
      <c r="B451" s="40" t="s">
        <v>964</v>
      </c>
      <c r="C451" s="97">
        <v>3752</v>
      </c>
      <c r="D451" s="97">
        <v>3705</v>
      </c>
      <c r="E451" s="97">
        <v>3271</v>
      </c>
      <c r="F451" s="97">
        <v>1077</v>
      </c>
      <c r="G451" s="97">
        <v>3711</v>
      </c>
      <c r="H451" s="97">
        <v>2499</v>
      </c>
      <c r="I451" s="98"/>
      <c r="J451" s="10">
        <f>+K451*L451</f>
        <v>22.512</v>
      </c>
      <c r="K451" s="11">
        <v>6</v>
      </c>
      <c r="L451" s="12">
        <f>+M451/1000</f>
        <v>3.7519999999999998</v>
      </c>
      <c r="M451" s="13">
        <f>+C451</f>
        <v>3752</v>
      </c>
      <c r="N451" s="16" t="s">
        <v>965</v>
      </c>
    </row>
    <row r="452" spans="1:16" s="5" customFormat="1" ht="12">
      <c r="A452" s="40" t="s">
        <v>206</v>
      </c>
      <c r="B452" s="40" t="s">
        <v>206</v>
      </c>
      <c r="C452" s="97">
        <v>31130</v>
      </c>
      <c r="D452" s="97">
        <v>31008</v>
      </c>
      <c r="E452" s="97">
        <v>26796</v>
      </c>
      <c r="F452" s="97">
        <v>9996</v>
      </c>
      <c r="G452" s="97">
        <v>30830</v>
      </c>
      <c r="H452" s="97">
        <v>21330</v>
      </c>
      <c r="I452" s="98"/>
      <c r="J452" s="10">
        <f>+K452*L452</f>
        <v>93.39</v>
      </c>
      <c r="K452" s="11">
        <v>3</v>
      </c>
      <c r="L452" s="12">
        <f>+M452/1000</f>
        <v>31.13</v>
      </c>
      <c r="M452" s="13">
        <f>+C452</f>
        <v>31130</v>
      </c>
      <c r="N452" s="16" t="s">
        <v>1281</v>
      </c>
    </row>
    <row r="453" spans="1:16" s="5" customFormat="1" ht="12">
      <c r="A453" s="40" t="s">
        <v>206</v>
      </c>
      <c r="B453" s="40" t="s">
        <v>1299</v>
      </c>
      <c r="C453" s="97">
        <v>8605</v>
      </c>
      <c r="D453" s="97">
        <v>8495</v>
      </c>
      <c r="E453" s="97">
        <v>7701</v>
      </c>
      <c r="F453" s="97">
        <v>3229</v>
      </c>
      <c r="G453" s="97">
        <v>8520</v>
      </c>
      <c r="H453" s="97">
        <v>6405</v>
      </c>
      <c r="I453" s="98"/>
      <c r="J453" s="10">
        <f>+K453*L453</f>
        <v>43.025000000000006</v>
      </c>
      <c r="K453" s="11">
        <v>5</v>
      </c>
      <c r="L453" s="12">
        <f>+M453/1000</f>
        <v>8.6050000000000004</v>
      </c>
      <c r="M453" s="13">
        <f>+C453</f>
        <v>8605</v>
      </c>
      <c r="N453" s="16" t="s">
        <v>1300</v>
      </c>
    </row>
    <row r="454" spans="1:16" s="5" customFormat="1" ht="12">
      <c r="A454" s="40" t="s">
        <v>206</v>
      </c>
      <c r="B454" s="40" t="s">
        <v>1808</v>
      </c>
      <c r="C454" s="97">
        <v>3366</v>
      </c>
      <c r="D454" s="97">
        <v>3317</v>
      </c>
      <c r="E454" s="97">
        <v>2837</v>
      </c>
      <c r="F454" s="97">
        <v>937</v>
      </c>
      <c r="G454" s="97">
        <v>3338</v>
      </c>
      <c r="H454" s="97">
        <v>2182</v>
      </c>
      <c r="I454" s="98"/>
      <c r="J454" s="10">
        <f>+K454*L454</f>
        <v>20.196000000000002</v>
      </c>
      <c r="K454" s="11">
        <v>6</v>
      </c>
      <c r="L454" s="12">
        <f>+M454/1000</f>
        <v>3.3660000000000001</v>
      </c>
      <c r="M454" s="13">
        <f>+C454</f>
        <v>3366</v>
      </c>
      <c r="N454" s="16" t="s">
        <v>1809</v>
      </c>
    </row>
    <row r="455" spans="1:16" s="5" customFormat="1" ht="12">
      <c r="A455" s="64" t="s">
        <v>32</v>
      </c>
      <c r="B455" s="64" t="s">
        <v>33</v>
      </c>
      <c r="C455" s="19">
        <v>583</v>
      </c>
      <c r="D455" s="19">
        <v>566</v>
      </c>
      <c r="E455" s="19">
        <v>451</v>
      </c>
      <c r="F455" s="19">
        <v>94</v>
      </c>
      <c r="G455" s="19">
        <v>573</v>
      </c>
      <c r="H455" s="19">
        <v>245</v>
      </c>
      <c r="I455" s="101"/>
      <c r="J455" s="17">
        <v>5.1779999999999999</v>
      </c>
      <c r="K455" s="17">
        <v>6</v>
      </c>
      <c r="L455" s="18">
        <v>0.86299999999999999</v>
      </c>
      <c r="M455" s="19">
        <v>863</v>
      </c>
      <c r="N455" s="20" t="s">
        <v>34</v>
      </c>
    </row>
    <row r="456" spans="1:16" s="5" customFormat="1" ht="12">
      <c r="A456" s="40" t="s">
        <v>32</v>
      </c>
      <c r="B456" s="40" t="s">
        <v>104</v>
      </c>
      <c r="C456" s="97">
        <v>2151</v>
      </c>
      <c r="D456" s="97">
        <v>2132</v>
      </c>
      <c r="E456" s="97">
        <v>1739</v>
      </c>
      <c r="F456" s="97">
        <v>478</v>
      </c>
      <c r="G456" s="97">
        <v>2111</v>
      </c>
      <c r="H456" s="97">
        <v>1161</v>
      </c>
      <c r="I456" s="98"/>
      <c r="J456" s="10">
        <f>+K456*L456</f>
        <v>12.905999999999999</v>
      </c>
      <c r="K456" s="11">
        <v>6</v>
      </c>
      <c r="L456" s="12">
        <f>+M456/1000</f>
        <v>2.1509999999999998</v>
      </c>
      <c r="M456" s="13">
        <f>+C456</f>
        <v>2151</v>
      </c>
      <c r="N456" s="16" t="s">
        <v>105</v>
      </c>
    </row>
    <row r="457" spans="1:16" s="5" customFormat="1" ht="12">
      <c r="A457" s="40" t="s">
        <v>32</v>
      </c>
      <c r="B457" s="40" t="s">
        <v>131</v>
      </c>
      <c r="C457" s="97">
        <v>373</v>
      </c>
      <c r="D457" s="97">
        <v>369</v>
      </c>
      <c r="E457" s="97">
        <v>209</v>
      </c>
      <c r="F457" s="97">
        <v>65</v>
      </c>
      <c r="G457" s="97">
        <v>369</v>
      </c>
      <c r="H457" s="97">
        <v>171</v>
      </c>
      <c r="I457" s="98"/>
      <c r="J457" s="10">
        <f>+K457*L457</f>
        <v>2.238</v>
      </c>
      <c r="K457" s="11">
        <v>6</v>
      </c>
      <c r="L457" s="12">
        <f>+M457/1000</f>
        <v>0.373</v>
      </c>
      <c r="M457" s="13">
        <f>+C457</f>
        <v>373</v>
      </c>
      <c r="N457" s="22" t="s">
        <v>138</v>
      </c>
    </row>
    <row r="458" spans="1:16" s="5" customFormat="1" ht="12">
      <c r="A458" s="64" t="s">
        <v>32</v>
      </c>
      <c r="B458" s="64" t="s">
        <v>154</v>
      </c>
      <c r="C458" s="19">
        <v>2395</v>
      </c>
      <c r="D458" s="19">
        <v>2355</v>
      </c>
      <c r="E458" s="19">
        <v>2098</v>
      </c>
      <c r="F458" s="19">
        <v>643</v>
      </c>
      <c r="G458" s="19">
        <v>2378</v>
      </c>
      <c r="H458" s="19">
        <v>1442</v>
      </c>
      <c r="I458" s="101"/>
      <c r="J458" s="17">
        <v>14.37</v>
      </c>
      <c r="K458" s="17">
        <v>6</v>
      </c>
      <c r="L458" s="18">
        <v>2.395</v>
      </c>
      <c r="M458" s="19">
        <v>2395</v>
      </c>
      <c r="N458" s="22" t="s">
        <v>155</v>
      </c>
    </row>
    <row r="459" spans="1:16" s="5" customFormat="1" ht="12">
      <c r="A459" s="64" t="s">
        <v>32</v>
      </c>
      <c r="B459" s="64" t="s">
        <v>157</v>
      </c>
      <c r="C459" s="19">
        <v>715</v>
      </c>
      <c r="D459" s="19">
        <v>671</v>
      </c>
      <c r="E459" s="19">
        <v>557</v>
      </c>
      <c r="F459" s="19">
        <v>158</v>
      </c>
      <c r="G459" s="19">
        <v>693</v>
      </c>
      <c r="H459" s="19">
        <v>384</v>
      </c>
      <c r="I459" s="101"/>
      <c r="J459" s="17">
        <v>4.4279999999999999</v>
      </c>
      <c r="K459" s="17">
        <v>6</v>
      </c>
      <c r="L459" s="18">
        <v>0.73799999999999999</v>
      </c>
      <c r="M459" s="19">
        <v>738</v>
      </c>
      <c r="N459" s="16" t="s">
        <v>156</v>
      </c>
    </row>
    <row r="460" spans="1:16" s="5" customFormat="1" ht="12">
      <c r="A460" s="64" t="s">
        <v>32</v>
      </c>
      <c r="B460" s="64" t="s">
        <v>201</v>
      </c>
      <c r="C460" s="19">
        <v>407</v>
      </c>
      <c r="D460" s="19">
        <v>401</v>
      </c>
      <c r="E460" s="19">
        <v>299</v>
      </c>
      <c r="F460" s="19">
        <v>98</v>
      </c>
      <c r="G460" s="19">
        <v>394</v>
      </c>
      <c r="H460" s="19">
        <v>215</v>
      </c>
      <c r="I460" s="101"/>
      <c r="J460" s="17">
        <v>5.8140000000000001</v>
      </c>
      <c r="K460" s="17">
        <v>6</v>
      </c>
      <c r="L460" s="18">
        <v>0.96899999999999997</v>
      </c>
      <c r="M460" s="19">
        <v>969</v>
      </c>
      <c r="N460" s="22" t="s">
        <v>204</v>
      </c>
    </row>
    <row r="461" spans="1:16" s="5" customFormat="1" ht="12">
      <c r="A461" s="40" t="s">
        <v>32</v>
      </c>
      <c r="B461" s="40" t="s">
        <v>203</v>
      </c>
      <c r="C461" s="97">
        <v>1216</v>
      </c>
      <c r="D461" s="97">
        <v>1191</v>
      </c>
      <c r="E461" s="97">
        <v>997</v>
      </c>
      <c r="F461" s="97">
        <v>293</v>
      </c>
      <c r="G461" s="97">
        <v>1181</v>
      </c>
      <c r="H461" s="97">
        <v>682</v>
      </c>
      <c r="I461" s="98"/>
      <c r="J461" s="10">
        <f>+K461*L461</f>
        <v>7.2959999999999994</v>
      </c>
      <c r="K461" s="11">
        <v>6</v>
      </c>
      <c r="L461" s="12">
        <f>+M461/1000</f>
        <v>1.216</v>
      </c>
      <c r="M461" s="13">
        <f>+C461</f>
        <v>1216</v>
      </c>
      <c r="N461" s="16" t="s">
        <v>205</v>
      </c>
    </row>
    <row r="462" spans="1:16" s="5" customFormat="1" ht="12">
      <c r="A462" s="40" t="s">
        <v>32</v>
      </c>
      <c r="B462" s="40" t="s">
        <v>211</v>
      </c>
      <c r="C462" s="97">
        <v>344</v>
      </c>
      <c r="D462" s="97">
        <v>337</v>
      </c>
      <c r="E462" s="97">
        <v>270</v>
      </c>
      <c r="F462" s="97">
        <v>83</v>
      </c>
      <c r="G462" s="97">
        <v>327</v>
      </c>
      <c r="H462" s="97">
        <v>181</v>
      </c>
      <c r="I462" s="98"/>
      <c r="J462" s="10">
        <f>+K462*L462</f>
        <v>2.0640000000000001</v>
      </c>
      <c r="K462" s="11">
        <v>6</v>
      </c>
      <c r="L462" s="12">
        <f>+M462/1000</f>
        <v>0.34399999999999997</v>
      </c>
      <c r="M462" s="13">
        <f>+C462</f>
        <v>344</v>
      </c>
      <c r="N462" s="22" t="s">
        <v>215</v>
      </c>
    </row>
    <row r="463" spans="1:16" s="5" customFormat="1" ht="12">
      <c r="A463" s="64" t="s">
        <v>32</v>
      </c>
      <c r="B463" s="64" t="s">
        <v>243</v>
      </c>
      <c r="C463" s="19">
        <v>311</v>
      </c>
      <c r="D463" s="19">
        <v>304</v>
      </c>
      <c r="E463" s="19">
        <v>260</v>
      </c>
      <c r="F463" s="19">
        <v>71</v>
      </c>
      <c r="G463" s="19">
        <v>309</v>
      </c>
      <c r="H463" s="19">
        <v>161</v>
      </c>
      <c r="I463" s="101"/>
      <c r="J463" s="17">
        <v>1.8660000000000001</v>
      </c>
      <c r="K463" s="17">
        <v>6</v>
      </c>
      <c r="L463" s="18">
        <v>0.311</v>
      </c>
      <c r="M463" s="19">
        <v>311</v>
      </c>
      <c r="N463" s="22" t="s">
        <v>244</v>
      </c>
    </row>
    <row r="464" spans="1:16" s="5" customFormat="1" ht="12">
      <c r="A464" s="40" t="s">
        <v>32</v>
      </c>
      <c r="B464" s="40" t="s">
        <v>252</v>
      </c>
      <c r="C464" s="97">
        <v>462</v>
      </c>
      <c r="D464" s="97">
        <v>439</v>
      </c>
      <c r="E464" s="97">
        <v>312</v>
      </c>
      <c r="F464" s="97">
        <v>86</v>
      </c>
      <c r="G464" s="97">
        <v>440</v>
      </c>
      <c r="H464" s="97">
        <v>232</v>
      </c>
      <c r="I464" s="98"/>
      <c r="J464" s="10">
        <f t="shared" ref="J464:J469" si="30">+K464*L464</f>
        <v>2.7720000000000002</v>
      </c>
      <c r="K464" s="11">
        <v>6</v>
      </c>
      <c r="L464" s="12">
        <f t="shared" ref="L464:L469" si="31">+M464/1000</f>
        <v>0.46200000000000002</v>
      </c>
      <c r="M464" s="13">
        <f t="shared" ref="M464:M469" si="32">+C464</f>
        <v>462</v>
      </c>
      <c r="N464" s="22" t="s">
        <v>255</v>
      </c>
    </row>
    <row r="465" spans="1:14" s="5" customFormat="1" ht="12">
      <c r="A465" s="40" t="s">
        <v>32</v>
      </c>
      <c r="B465" s="40" t="s">
        <v>374</v>
      </c>
      <c r="C465" s="97">
        <v>459</v>
      </c>
      <c r="D465" s="97">
        <v>445</v>
      </c>
      <c r="E465" s="97">
        <v>333</v>
      </c>
      <c r="F465" s="97">
        <v>105</v>
      </c>
      <c r="G465" s="97">
        <v>450</v>
      </c>
      <c r="H465" s="97">
        <v>244</v>
      </c>
      <c r="I465" s="98"/>
      <c r="J465" s="10">
        <f t="shared" si="30"/>
        <v>2.754</v>
      </c>
      <c r="K465" s="11">
        <v>6</v>
      </c>
      <c r="L465" s="12">
        <f t="shared" si="31"/>
        <v>0.45900000000000002</v>
      </c>
      <c r="M465" s="13">
        <f t="shared" si="32"/>
        <v>459</v>
      </c>
      <c r="N465" s="22" t="s">
        <v>309</v>
      </c>
    </row>
    <row r="466" spans="1:14" s="5" customFormat="1" ht="12">
      <c r="A466" s="40" t="s">
        <v>32</v>
      </c>
      <c r="B466" s="40" t="s">
        <v>393</v>
      </c>
      <c r="C466" s="97">
        <v>490</v>
      </c>
      <c r="D466" s="97">
        <v>474</v>
      </c>
      <c r="E466" s="97">
        <v>387</v>
      </c>
      <c r="F466" s="97">
        <v>131</v>
      </c>
      <c r="G466" s="97">
        <v>473</v>
      </c>
      <c r="H466" s="97">
        <v>276</v>
      </c>
      <c r="I466" s="98"/>
      <c r="J466" s="10">
        <f t="shared" si="30"/>
        <v>2.94</v>
      </c>
      <c r="K466" s="11">
        <v>6</v>
      </c>
      <c r="L466" s="12">
        <f t="shared" si="31"/>
        <v>0.49</v>
      </c>
      <c r="M466" s="13">
        <f t="shared" si="32"/>
        <v>490</v>
      </c>
      <c r="N466" s="22" t="s">
        <v>367</v>
      </c>
    </row>
    <row r="467" spans="1:14" s="5" customFormat="1" ht="12">
      <c r="A467" s="40" t="s">
        <v>32</v>
      </c>
      <c r="B467" s="40" t="s">
        <v>424</v>
      </c>
      <c r="C467" s="97">
        <v>649</v>
      </c>
      <c r="D467" s="97">
        <v>631</v>
      </c>
      <c r="E467" s="97">
        <v>509</v>
      </c>
      <c r="F467" s="97">
        <v>156</v>
      </c>
      <c r="G467" s="97">
        <v>638</v>
      </c>
      <c r="H467" s="97">
        <v>312</v>
      </c>
      <c r="I467" s="98"/>
      <c r="J467" s="10">
        <f t="shared" si="30"/>
        <v>3.8940000000000001</v>
      </c>
      <c r="K467" s="11">
        <v>6</v>
      </c>
      <c r="L467" s="12">
        <f t="shared" si="31"/>
        <v>0.64900000000000002</v>
      </c>
      <c r="M467" s="13">
        <f t="shared" si="32"/>
        <v>649</v>
      </c>
      <c r="N467" s="22" t="s">
        <v>408</v>
      </c>
    </row>
    <row r="468" spans="1:14" s="5" customFormat="1" ht="12">
      <c r="A468" s="40" t="s">
        <v>32</v>
      </c>
      <c r="B468" s="40" t="s">
        <v>440</v>
      </c>
      <c r="C468" s="97">
        <v>1798</v>
      </c>
      <c r="D468" s="97">
        <v>1747</v>
      </c>
      <c r="E468" s="97">
        <v>1412</v>
      </c>
      <c r="F468" s="97">
        <v>357</v>
      </c>
      <c r="G468" s="97">
        <v>1750</v>
      </c>
      <c r="H468" s="97">
        <v>884</v>
      </c>
      <c r="I468" s="98"/>
      <c r="J468" s="10">
        <f t="shared" si="30"/>
        <v>10.788</v>
      </c>
      <c r="K468" s="11">
        <v>6</v>
      </c>
      <c r="L468" s="12">
        <f t="shared" si="31"/>
        <v>1.798</v>
      </c>
      <c r="M468" s="13">
        <f t="shared" si="32"/>
        <v>1798</v>
      </c>
      <c r="N468" s="16" t="s">
        <v>441</v>
      </c>
    </row>
    <row r="469" spans="1:14" s="5" customFormat="1" ht="12">
      <c r="A469" s="40" t="s">
        <v>32</v>
      </c>
      <c r="B469" s="40" t="s">
        <v>443</v>
      </c>
      <c r="C469" s="97">
        <v>551</v>
      </c>
      <c r="D469" s="97">
        <v>539</v>
      </c>
      <c r="E469" s="97">
        <v>459</v>
      </c>
      <c r="F469" s="97">
        <v>123</v>
      </c>
      <c r="G469" s="97">
        <v>548</v>
      </c>
      <c r="H469" s="97">
        <v>301</v>
      </c>
      <c r="I469" s="98"/>
      <c r="J469" s="10">
        <f t="shared" si="30"/>
        <v>3.306</v>
      </c>
      <c r="K469" s="11">
        <v>6</v>
      </c>
      <c r="L469" s="12">
        <f t="shared" si="31"/>
        <v>0.55100000000000005</v>
      </c>
      <c r="M469" s="13">
        <f t="shared" si="32"/>
        <v>551</v>
      </c>
      <c r="N469" s="22" t="s">
        <v>438</v>
      </c>
    </row>
    <row r="470" spans="1:14" s="5" customFormat="1" ht="12">
      <c r="A470" s="64" t="s">
        <v>32</v>
      </c>
      <c r="B470" s="64" t="s">
        <v>448</v>
      </c>
      <c r="C470" s="19">
        <v>639</v>
      </c>
      <c r="D470" s="19">
        <v>624</v>
      </c>
      <c r="E470" s="19">
        <v>453</v>
      </c>
      <c r="F470" s="19">
        <v>153</v>
      </c>
      <c r="G470" s="19">
        <v>631</v>
      </c>
      <c r="H470" s="19">
        <v>357</v>
      </c>
      <c r="I470" s="101"/>
      <c r="J470" s="17">
        <v>1.9139999999999999</v>
      </c>
      <c r="K470" s="17">
        <v>6</v>
      </c>
      <c r="L470" s="18">
        <v>0.31900000000000001</v>
      </c>
      <c r="M470" s="19">
        <v>319</v>
      </c>
      <c r="N470" s="22" t="s">
        <v>442</v>
      </c>
    </row>
    <row r="471" spans="1:14" s="5" customFormat="1" ht="12">
      <c r="A471" s="40" t="s">
        <v>32</v>
      </c>
      <c r="B471" s="40" t="s">
        <v>452</v>
      </c>
      <c r="C471" s="97">
        <v>861</v>
      </c>
      <c r="D471" s="97">
        <v>848</v>
      </c>
      <c r="E471" s="97">
        <v>684</v>
      </c>
      <c r="F471" s="97">
        <v>188</v>
      </c>
      <c r="G471" s="97">
        <v>856</v>
      </c>
      <c r="H471" s="97">
        <v>449</v>
      </c>
      <c r="I471" s="98"/>
      <c r="J471" s="10">
        <f t="shared" ref="J471:J476" si="33">+K471*L471</f>
        <v>5.1660000000000004</v>
      </c>
      <c r="K471" s="11">
        <v>6</v>
      </c>
      <c r="L471" s="12">
        <f t="shared" ref="L471:L476" si="34">+M471/1000</f>
        <v>0.86099999999999999</v>
      </c>
      <c r="M471" s="13">
        <f t="shared" ref="M471:M476" si="35">+C471</f>
        <v>861</v>
      </c>
      <c r="N471" s="22" t="s">
        <v>444</v>
      </c>
    </row>
    <row r="472" spans="1:14" s="5" customFormat="1" ht="12">
      <c r="A472" s="40" t="s">
        <v>32</v>
      </c>
      <c r="B472" s="40" t="s">
        <v>566</v>
      </c>
      <c r="C472" s="97">
        <v>1273</v>
      </c>
      <c r="D472" s="97">
        <v>1265</v>
      </c>
      <c r="E472" s="97">
        <v>1096</v>
      </c>
      <c r="F472" s="97">
        <v>380</v>
      </c>
      <c r="G472" s="97">
        <v>1255</v>
      </c>
      <c r="H472" s="97">
        <v>876</v>
      </c>
      <c r="I472" s="98"/>
      <c r="J472" s="10">
        <f t="shared" si="33"/>
        <v>7.6379999999999999</v>
      </c>
      <c r="K472" s="11">
        <v>6</v>
      </c>
      <c r="L472" s="12">
        <f t="shared" si="34"/>
        <v>1.2729999999999999</v>
      </c>
      <c r="M472" s="13">
        <f t="shared" si="35"/>
        <v>1273</v>
      </c>
      <c r="N472" s="16" t="s">
        <v>567</v>
      </c>
    </row>
    <row r="473" spans="1:14" s="5" customFormat="1" ht="12">
      <c r="A473" s="40" t="s">
        <v>32</v>
      </c>
      <c r="B473" s="40" t="s">
        <v>672</v>
      </c>
      <c r="C473" s="97">
        <v>1602</v>
      </c>
      <c r="D473" s="97">
        <v>1581</v>
      </c>
      <c r="E473" s="97">
        <v>1309</v>
      </c>
      <c r="F473" s="97">
        <v>439</v>
      </c>
      <c r="G473" s="97">
        <v>1576</v>
      </c>
      <c r="H473" s="97">
        <v>907</v>
      </c>
      <c r="I473" s="98"/>
      <c r="J473" s="10">
        <f t="shared" si="33"/>
        <v>9.6120000000000001</v>
      </c>
      <c r="K473" s="11">
        <v>6</v>
      </c>
      <c r="L473" s="12">
        <f t="shared" si="34"/>
        <v>1.6020000000000001</v>
      </c>
      <c r="M473" s="13">
        <f t="shared" si="35"/>
        <v>1602</v>
      </c>
      <c r="N473" s="16" t="s">
        <v>673</v>
      </c>
    </row>
    <row r="474" spans="1:14" s="5" customFormat="1" ht="12">
      <c r="A474" s="40" t="s">
        <v>32</v>
      </c>
      <c r="B474" s="40" t="s">
        <v>686</v>
      </c>
      <c r="C474" s="97">
        <v>4127</v>
      </c>
      <c r="D474" s="97">
        <v>4068</v>
      </c>
      <c r="E474" s="97">
        <v>3475</v>
      </c>
      <c r="F474" s="97">
        <v>1068</v>
      </c>
      <c r="G474" s="97">
        <v>4061</v>
      </c>
      <c r="H474" s="97">
        <v>2414</v>
      </c>
      <c r="I474" s="98"/>
      <c r="J474" s="10">
        <f t="shared" si="33"/>
        <v>24.762</v>
      </c>
      <c r="K474" s="11">
        <v>6</v>
      </c>
      <c r="L474" s="12">
        <f t="shared" si="34"/>
        <v>4.1269999999999998</v>
      </c>
      <c r="M474" s="13">
        <f t="shared" si="35"/>
        <v>4127</v>
      </c>
      <c r="N474" s="16" t="s">
        <v>687</v>
      </c>
    </row>
    <row r="475" spans="1:14" s="5" customFormat="1" ht="12">
      <c r="A475" s="40" t="s">
        <v>32</v>
      </c>
      <c r="B475" s="40" t="s">
        <v>1049</v>
      </c>
      <c r="C475" s="97">
        <v>1517</v>
      </c>
      <c r="D475" s="97">
        <v>1494</v>
      </c>
      <c r="E475" s="97">
        <v>1211</v>
      </c>
      <c r="F475" s="97">
        <v>340</v>
      </c>
      <c r="G475" s="97">
        <v>1479</v>
      </c>
      <c r="H475" s="97">
        <v>763</v>
      </c>
      <c r="I475" s="98"/>
      <c r="J475" s="10">
        <f t="shared" si="33"/>
        <v>9.1020000000000003</v>
      </c>
      <c r="K475" s="11">
        <v>6</v>
      </c>
      <c r="L475" s="12">
        <f t="shared" si="34"/>
        <v>1.5169999999999999</v>
      </c>
      <c r="M475" s="13">
        <f t="shared" si="35"/>
        <v>1517</v>
      </c>
      <c r="N475" s="16" t="s">
        <v>1050</v>
      </c>
    </row>
    <row r="476" spans="1:14" s="5" customFormat="1" ht="12">
      <c r="A476" s="40" t="s">
        <v>32</v>
      </c>
      <c r="B476" s="40" t="s">
        <v>1083</v>
      </c>
      <c r="C476" s="97">
        <v>1426</v>
      </c>
      <c r="D476" s="97">
        <v>1368</v>
      </c>
      <c r="E476" s="97">
        <v>1097</v>
      </c>
      <c r="F476" s="97">
        <v>387</v>
      </c>
      <c r="G476" s="97">
        <v>1384</v>
      </c>
      <c r="H476" s="97">
        <v>766</v>
      </c>
      <c r="I476" s="98"/>
      <c r="J476" s="10">
        <f t="shared" si="33"/>
        <v>8.5559999999999992</v>
      </c>
      <c r="K476" s="11">
        <v>6</v>
      </c>
      <c r="L476" s="12">
        <f t="shared" si="34"/>
        <v>1.4259999999999999</v>
      </c>
      <c r="M476" s="13">
        <f t="shared" si="35"/>
        <v>1426</v>
      </c>
      <c r="N476" s="16" t="s">
        <v>1084</v>
      </c>
    </row>
    <row r="477" spans="1:14" s="5" customFormat="1" ht="12">
      <c r="A477" s="64" t="s">
        <v>32</v>
      </c>
      <c r="B477" s="64" t="s">
        <v>1098</v>
      </c>
      <c r="C477" s="19">
        <v>511</v>
      </c>
      <c r="D477" s="19">
        <v>508</v>
      </c>
      <c r="E477" s="19">
        <v>414</v>
      </c>
      <c r="F477" s="19">
        <v>121</v>
      </c>
      <c r="G477" s="19">
        <v>504</v>
      </c>
      <c r="H477" s="19">
        <v>290</v>
      </c>
      <c r="I477" s="101"/>
      <c r="J477" s="17">
        <v>4.41</v>
      </c>
      <c r="K477" s="17">
        <v>6</v>
      </c>
      <c r="L477" s="18">
        <v>0.73499999999999999</v>
      </c>
      <c r="M477" s="19">
        <v>735</v>
      </c>
      <c r="N477" s="22" t="s">
        <v>1099</v>
      </c>
    </row>
    <row r="478" spans="1:14" s="5" customFormat="1" ht="12">
      <c r="A478" s="64" t="s">
        <v>32</v>
      </c>
      <c r="B478" s="64" t="s">
        <v>1172</v>
      </c>
      <c r="C478" s="19">
        <v>738</v>
      </c>
      <c r="D478" s="19">
        <v>718</v>
      </c>
      <c r="E478" s="19">
        <v>568</v>
      </c>
      <c r="F478" s="19">
        <v>161</v>
      </c>
      <c r="G478" s="19">
        <v>722</v>
      </c>
      <c r="H478" s="19">
        <v>375</v>
      </c>
      <c r="I478" s="101"/>
      <c r="J478" s="17">
        <v>3.8460000000000001</v>
      </c>
      <c r="K478" s="17">
        <v>6</v>
      </c>
      <c r="L478" s="18">
        <v>0.64100000000000001</v>
      </c>
      <c r="M478" s="19">
        <v>641</v>
      </c>
      <c r="N478" s="22" t="s">
        <v>1173</v>
      </c>
    </row>
    <row r="479" spans="1:14" s="5" customFormat="1" ht="12">
      <c r="A479" s="40" t="s">
        <v>32</v>
      </c>
      <c r="B479" s="40" t="s">
        <v>1184</v>
      </c>
      <c r="C479" s="97">
        <v>1169</v>
      </c>
      <c r="D479" s="97">
        <v>1143</v>
      </c>
      <c r="E479" s="97">
        <v>896</v>
      </c>
      <c r="F479" s="97">
        <v>242</v>
      </c>
      <c r="G479" s="97">
        <v>1145</v>
      </c>
      <c r="H479" s="97">
        <v>568</v>
      </c>
      <c r="I479" s="98"/>
      <c r="J479" s="10">
        <f t="shared" ref="J479:J510" si="36">+K479*L479</f>
        <v>7.0140000000000002</v>
      </c>
      <c r="K479" s="11">
        <v>6</v>
      </c>
      <c r="L479" s="12">
        <f t="shared" ref="L479:L510" si="37">+M479/1000</f>
        <v>1.169</v>
      </c>
      <c r="M479" s="13">
        <f t="shared" ref="M479:M510" si="38">+C479</f>
        <v>1169</v>
      </c>
      <c r="N479" s="16" t="s">
        <v>1185</v>
      </c>
    </row>
    <row r="480" spans="1:14" s="5" customFormat="1" ht="12">
      <c r="A480" s="40" t="s">
        <v>32</v>
      </c>
      <c r="B480" s="40" t="s">
        <v>1238</v>
      </c>
      <c r="C480" s="97">
        <v>3313</v>
      </c>
      <c r="D480" s="97">
        <v>3232</v>
      </c>
      <c r="E480" s="97">
        <v>2722</v>
      </c>
      <c r="F480" s="97">
        <v>780</v>
      </c>
      <c r="G480" s="97">
        <v>3238</v>
      </c>
      <c r="H480" s="97">
        <v>1762</v>
      </c>
      <c r="I480" s="98"/>
      <c r="J480" s="10">
        <f t="shared" si="36"/>
        <v>19.878</v>
      </c>
      <c r="K480" s="11">
        <v>6</v>
      </c>
      <c r="L480" s="12">
        <f t="shared" si="37"/>
        <v>3.3130000000000002</v>
      </c>
      <c r="M480" s="13">
        <f t="shared" si="38"/>
        <v>3313</v>
      </c>
      <c r="N480" s="16" t="s">
        <v>1239</v>
      </c>
    </row>
    <row r="481" spans="1:16" s="5" customFormat="1" ht="12">
      <c r="A481" s="40" t="s">
        <v>32</v>
      </c>
      <c r="B481" s="40" t="s">
        <v>1244</v>
      </c>
      <c r="C481" s="97">
        <v>1352</v>
      </c>
      <c r="D481" s="97">
        <v>1334</v>
      </c>
      <c r="E481" s="97">
        <v>1052</v>
      </c>
      <c r="F481" s="97">
        <v>280</v>
      </c>
      <c r="G481" s="97">
        <v>1336</v>
      </c>
      <c r="H481" s="97">
        <v>739</v>
      </c>
      <c r="I481" s="98"/>
      <c r="J481" s="10">
        <f t="shared" si="36"/>
        <v>8.1120000000000001</v>
      </c>
      <c r="K481" s="11">
        <v>6</v>
      </c>
      <c r="L481" s="12">
        <f t="shared" si="37"/>
        <v>1.3520000000000001</v>
      </c>
      <c r="M481" s="13">
        <f t="shared" si="38"/>
        <v>1352</v>
      </c>
      <c r="N481" s="16" t="s">
        <v>1245</v>
      </c>
    </row>
    <row r="482" spans="1:16" s="5" customFormat="1" ht="12">
      <c r="A482" s="40" t="s">
        <v>32</v>
      </c>
      <c r="B482" s="40" t="s">
        <v>1249</v>
      </c>
      <c r="C482" s="97">
        <v>2017</v>
      </c>
      <c r="D482" s="97">
        <v>1981</v>
      </c>
      <c r="E482" s="97">
        <v>1582</v>
      </c>
      <c r="F482" s="97">
        <v>454</v>
      </c>
      <c r="G482" s="97">
        <v>1975</v>
      </c>
      <c r="H482" s="97">
        <v>1139</v>
      </c>
      <c r="I482" s="98"/>
      <c r="J482" s="10">
        <f t="shared" si="36"/>
        <v>12.102</v>
      </c>
      <c r="K482" s="11">
        <v>6</v>
      </c>
      <c r="L482" s="12">
        <f t="shared" si="37"/>
        <v>2.0169999999999999</v>
      </c>
      <c r="M482" s="13">
        <f t="shared" si="38"/>
        <v>2017</v>
      </c>
      <c r="N482" s="16" t="s">
        <v>1250</v>
      </c>
    </row>
    <row r="483" spans="1:16" s="5" customFormat="1" ht="12">
      <c r="A483" s="40" t="s">
        <v>32</v>
      </c>
      <c r="B483" s="40" t="s">
        <v>1253</v>
      </c>
      <c r="C483" s="97">
        <v>1241</v>
      </c>
      <c r="D483" s="97">
        <v>1215</v>
      </c>
      <c r="E483" s="97">
        <v>995</v>
      </c>
      <c r="F483" s="97">
        <v>255</v>
      </c>
      <c r="G483" s="97">
        <v>1217</v>
      </c>
      <c r="H483" s="97">
        <v>610</v>
      </c>
      <c r="I483" s="98"/>
      <c r="J483" s="10">
        <f t="shared" si="36"/>
        <v>7.4460000000000006</v>
      </c>
      <c r="K483" s="11">
        <v>6</v>
      </c>
      <c r="L483" s="12">
        <f t="shared" si="37"/>
        <v>1.2410000000000001</v>
      </c>
      <c r="M483" s="13">
        <f t="shared" si="38"/>
        <v>1241</v>
      </c>
      <c r="N483" s="16" t="s">
        <v>1254</v>
      </c>
    </row>
    <row r="484" spans="1:16" s="5" customFormat="1" ht="12">
      <c r="A484" s="40" t="s">
        <v>32</v>
      </c>
      <c r="B484" s="40" t="s">
        <v>1347</v>
      </c>
      <c r="C484" s="97">
        <v>3461</v>
      </c>
      <c r="D484" s="97">
        <v>3397</v>
      </c>
      <c r="E484" s="97">
        <v>2873</v>
      </c>
      <c r="F484" s="97">
        <v>928</v>
      </c>
      <c r="G484" s="97">
        <v>3371</v>
      </c>
      <c r="H484" s="97">
        <v>2019</v>
      </c>
      <c r="I484" s="98"/>
      <c r="J484" s="10">
        <f t="shared" si="36"/>
        <v>20.765999999999998</v>
      </c>
      <c r="K484" s="11">
        <v>6</v>
      </c>
      <c r="L484" s="12">
        <f t="shared" si="37"/>
        <v>3.4609999999999999</v>
      </c>
      <c r="M484" s="13">
        <f t="shared" si="38"/>
        <v>3461</v>
      </c>
      <c r="N484" s="39" t="s">
        <v>1348</v>
      </c>
      <c r="O484" s="2"/>
      <c r="P484" s="2"/>
    </row>
    <row r="485" spans="1:16" s="5" customFormat="1" ht="12">
      <c r="A485" s="40" t="s">
        <v>32</v>
      </c>
      <c r="B485" s="40" t="s">
        <v>32</v>
      </c>
      <c r="C485" s="97">
        <v>16485</v>
      </c>
      <c r="D485" s="97">
        <v>16234</v>
      </c>
      <c r="E485" s="97">
        <v>14139</v>
      </c>
      <c r="F485" s="97">
        <v>4824</v>
      </c>
      <c r="G485" s="97">
        <v>16244</v>
      </c>
      <c r="H485" s="97">
        <v>10422</v>
      </c>
      <c r="I485" s="98"/>
      <c r="J485" s="10">
        <f t="shared" si="36"/>
        <v>82.424999999999997</v>
      </c>
      <c r="K485" s="11">
        <v>5</v>
      </c>
      <c r="L485" s="12">
        <f t="shared" si="37"/>
        <v>16.484999999999999</v>
      </c>
      <c r="M485" s="13">
        <f t="shared" si="38"/>
        <v>16485</v>
      </c>
      <c r="N485" s="16" t="s">
        <v>1399</v>
      </c>
    </row>
    <row r="486" spans="1:16" s="5" customFormat="1" ht="12">
      <c r="A486" s="40" t="s">
        <v>32</v>
      </c>
      <c r="B486" s="40" t="s">
        <v>1639</v>
      </c>
      <c r="C486" s="97">
        <v>1388</v>
      </c>
      <c r="D486" s="97">
        <v>1356</v>
      </c>
      <c r="E486" s="97">
        <v>1152</v>
      </c>
      <c r="F486" s="97">
        <v>392</v>
      </c>
      <c r="G486" s="97">
        <v>1356</v>
      </c>
      <c r="H486" s="97">
        <v>990</v>
      </c>
      <c r="I486" s="98"/>
      <c r="J486" s="10">
        <f t="shared" si="36"/>
        <v>8.3279999999999994</v>
      </c>
      <c r="K486" s="11">
        <v>6</v>
      </c>
      <c r="L486" s="12">
        <f t="shared" si="37"/>
        <v>1.3879999999999999</v>
      </c>
      <c r="M486" s="13">
        <f t="shared" si="38"/>
        <v>1388</v>
      </c>
      <c r="N486" s="16" t="s">
        <v>1640</v>
      </c>
    </row>
    <row r="487" spans="1:16" s="5" customFormat="1" ht="12">
      <c r="A487" s="40" t="s">
        <v>32</v>
      </c>
      <c r="B487" s="40" t="s">
        <v>1815</v>
      </c>
      <c r="C487" s="97">
        <v>1777</v>
      </c>
      <c r="D487" s="97">
        <v>1734</v>
      </c>
      <c r="E487" s="97">
        <v>1466</v>
      </c>
      <c r="F487" s="97">
        <v>415</v>
      </c>
      <c r="G487" s="97">
        <v>1749</v>
      </c>
      <c r="H487" s="97">
        <v>937</v>
      </c>
      <c r="I487" s="98"/>
      <c r="J487" s="10">
        <f t="shared" si="36"/>
        <v>10.661999999999999</v>
      </c>
      <c r="K487" s="11">
        <v>6</v>
      </c>
      <c r="L487" s="12">
        <f t="shared" si="37"/>
        <v>1.7769999999999999</v>
      </c>
      <c r="M487" s="13">
        <f t="shared" si="38"/>
        <v>1777</v>
      </c>
      <c r="N487" s="16" t="s">
        <v>1816</v>
      </c>
    </row>
    <row r="488" spans="1:16" s="5" customFormat="1" ht="12">
      <c r="A488" s="40" t="s">
        <v>32</v>
      </c>
      <c r="B488" s="40" t="s">
        <v>1909</v>
      </c>
      <c r="C488" s="97">
        <v>2268</v>
      </c>
      <c r="D488" s="97">
        <v>2226</v>
      </c>
      <c r="E488" s="97">
        <v>1943</v>
      </c>
      <c r="F488" s="97">
        <v>630</v>
      </c>
      <c r="G488" s="97">
        <v>2241</v>
      </c>
      <c r="H488" s="97">
        <v>1378</v>
      </c>
      <c r="I488" s="98"/>
      <c r="J488" s="10">
        <f t="shared" si="36"/>
        <v>13.607999999999999</v>
      </c>
      <c r="K488" s="11">
        <v>6</v>
      </c>
      <c r="L488" s="12">
        <f t="shared" si="37"/>
        <v>2.2679999999999998</v>
      </c>
      <c r="M488" s="13">
        <f t="shared" si="38"/>
        <v>2268</v>
      </c>
      <c r="N488" s="16" t="s">
        <v>1910</v>
      </c>
    </row>
    <row r="489" spans="1:16" s="5" customFormat="1">
      <c r="A489" s="67" t="s">
        <v>78</v>
      </c>
      <c r="B489" s="67" t="s">
        <v>79</v>
      </c>
      <c r="C489" s="108">
        <v>662</v>
      </c>
      <c r="D489" s="108">
        <v>650</v>
      </c>
      <c r="E489" s="108">
        <v>535</v>
      </c>
      <c r="F489" s="108">
        <v>230</v>
      </c>
      <c r="G489" s="108">
        <v>622</v>
      </c>
      <c r="H489" s="108">
        <v>430</v>
      </c>
      <c r="I489" s="92"/>
      <c r="J489" s="51">
        <f t="shared" si="36"/>
        <v>3.9720000000000004</v>
      </c>
      <c r="K489" s="50">
        <v>6</v>
      </c>
      <c r="L489" s="49">
        <f t="shared" si="37"/>
        <v>0.66200000000000003</v>
      </c>
      <c r="M489" s="48">
        <f t="shared" si="38"/>
        <v>662</v>
      </c>
      <c r="N489" s="54" t="s">
        <v>80</v>
      </c>
      <c r="O489"/>
      <c r="P489"/>
    </row>
    <row r="490" spans="1:16" s="5" customFormat="1">
      <c r="A490" s="67" t="s">
        <v>78</v>
      </c>
      <c r="B490" s="67" t="s">
        <v>113</v>
      </c>
      <c r="C490" s="108">
        <v>454</v>
      </c>
      <c r="D490" s="108">
        <v>446</v>
      </c>
      <c r="E490" s="108">
        <v>354</v>
      </c>
      <c r="F490" s="108">
        <v>136</v>
      </c>
      <c r="G490" s="108">
        <v>432</v>
      </c>
      <c r="H490" s="108">
        <v>275</v>
      </c>
      <c r="I490" s="92"/>
      <c r="J490" s="51">
        <f t="shared" si="36"/>
        <v>2.7240000000000002</v>
      </c>
      <c r="K490" s="50">
        <v>6</v>
      </c>
      <c r="L490" s="49">
        <f t="shared" si="37"/>
        <v>0.45400000000000001</v>
      </c>
      <c r="M490" s="48">
        <f t="shared" si="38"/>
        <v>454</v>
      </c>
      <c r="N490" s="52" t="s">
        <v>2007</v>
      </c>
      <c r="O490"/>
      <c r="P490"/>
    </row>
    <row r="491" spans="1:16" s="5" customFormat="1">
      <c r="A491" s="67" t="s">
        <v>78</v>
      </c>
      <c r="B491" s="67" t="s">
        <v>256</v>
      </c>
      <c r="C491" s="108">
        <v>575</v>
      </c>
      <c r="D491" s="108">
        <v>569</v>
      </c>
      <c r="E491" s="108">
        <v>458</v>
      </c>
      <c r="F491" s="108">
        <v>141</v>
      </c>
      <c r="G491" s="108">
        <v>554</v>
      </c>
      <c r="H491" s="108">
        <v>306</v>
      </c>
      <c r="I491" s="92"/>
      <c r="J491" s="51">
        <f t="shared" si="36"/>
        <v>3.4499999999999997</v>
      </c>
      <c r="K491" s="50">
        <v>6</v>
      </c>
      <c r="L491" s="49">
        <f t="shared" si="37"/>
        <v>0.57499999999999996</v>
      </c>
      <c r="M491" s="48">
        <f t="shared" si="38"/>
        <v>575</v>
      </c>
      <c r="N491" s="52" t="s">
        <v>2006</v>
      </c>
      <c r="O491"/>
      <c r="P491"/>
    </row>
    <row r="492" spans="1:16" s="5" customFormat="1">
      <c r="A492" s="67" t="s">
        <v>78</v>
      </c>
      <c r="B492" s="67" t="s">
        <v>282</v>
      </c>
      <c r="C492" s="108">
        <v>1512</v>
      </c>
      <c r="D492" s="108">
        <v>1493</v>
      </c>
      <c r="E492" s="108">
        <v>1238</v>
      </c>
      <c r="F492" s="108">
        <v>463</v>
      </c>
      <c r="G492" s="108">
        <v>1479</v>
      </c>
      <c r="H492" s="108">
        <v>933</v>
      </c>
      <c r="I492" s="92"/>
      <c r="J492" s="51">
        <f t="shared" si="36"/>
        <v>9.0719999999999992</v>
      </c>
      <c r="K492" s="50">
        <v>6</v>
      </c>
      <c r="L492" s="49">
        <f t="shared" si="37"/>
        <v>1.512</v>
      </c>
      <c r="M492" s="48">
        <f t="shared" si="38"/>
        <v>1512</v>
      </c>
      <c r="N492" s="47" t="s">
        <v>283</v>
      </c>
      <c r="O492"/>
      <c r="P492"/>
    </row>
    <row r="493" spans="1:16" s="5" customFormat="1">
      <c r="A493" s="67" t="s">
        <v>78</v>
      </c>
      <c r="B493" s="67" t="s">
        <v>286</v>
      </c>
      <c r="C493" s="108">
        <v>379</v>
      </c>
      <c r="D493" s="108">
        <v>372</v>
      </c>
      <c r="E493" s="108">
        <v>304</v>
      </c>
      <c r="F493" s="108">
        <v>89</v>
      </c>
      <c r="G493" s="108">
        <v>366</v>
      </c>
      <c r="H493" s="108">
        <v>211</v>
      </c>
      <c r="I493" s="92"/>
      <c r="J493" s="51">
        <f t="shared" si="36"/>
        <v>2.274</v>
      </c>
      <c r="K493" s="50">
        <v>6</v>
      </c>
      <c r="L493" s="49">
        <f t="shared" si="37"/>
        <v>0.379</v>
      </c>
      <c r="M493" s="48">
        <f t="shared" si="38"/>
        <v>379</v>
      </c>
      <c r="N493" s="52" t="s">
        <v>2005</v>
      </c>
      <c r="O493"/>
      <c r="P493"/>
    </row>
    <row r="494" spans="1:16" s="5" customFormat="1">
      <c r="A494" s="67" t="s">
        <v>78</v>
      </c>
      <c r="B494" s="67" t="s">
        <v>302</v>
      </c>
      <c r="C494" s="108">
        <v>1567</v>
      </c>
      <c r="D494" s="108">
        <v>1521</v>
      </c>
      <c r="E494" s="108">
        <v>1306</v>
      </c>
      <c r="F494" s="108">
        <v>622</v>
      </c>
      <c r="G494" s="108">
        <v>1515</v>
      </c>
      <c r="H494" s="108">
        <v>1128</v>
      </c>
      <c r="I494" s="92"/>
      <c r="J494" s="51">
        <f t="shared" si="36"/>
        <v>9.4019999999999992</v>
      </c>
      <c r="K494" s="50">
        <v>6</v>
      </c>
      <c r="L494" s="49">
        <f t="shared" si="37"/>
        <v>1.5669999999999999</v>
      </c>
      <c r="M494" s="48">
        <f t="shared" si="38"/>
        <v>1567</v>
      </c>
      <c r="N494" s="47" t="s">
        <v>303</v>
      </c>
      <c r="O494"/>
      <c r="P494"/>
    </row>
    <row r="495" spans="1:16" s="5" customFormat="1">
      <c r="A495" s="67" t="s">
        <v>78</v>
      </c>
      <c r="B495" s="67" t="s">
        <v>337</v>
      </c>
      <c r="C495" s="108">
        <v>1161</v>
      </c>
      <c r="D495" s="108">
        <v>1136</v>
      </c>
      <c r="E495" s="108">
        <v>949</v>
      </c>
      <c r="F495" s="108">
        <v>436</v>
      </c>
      <c r="G495" s="108">
        <v>1130</v>
      </c>
      <c r="H495" s="108">
        <v>823</v>
      </c>
      <c r="I495" s="92"/>
      <c r="J495" s="51">
        <f t="shared" si="36"/>
        <v>6.9660000000000002</v>
      </c>
      <c r="K495" s="50">
        <v>6</v>
      </c>
      <c r="L495" s="49">
        <f t="shared" si="37"/>
        <v>1.161</v>
      </c>
      <c r="M495" s="48">
        <f t="shared" si="38"/>
        <v>1161</v>
      </c>
      <c r="N495" s="47" t="s">
        <v>338</v>
      </c>
      <c r="O495"/>
      <c r="P495"/>
    </row>
    <row r="496" spans="1:16" s="5" customFormat="1">
      <c r="A496" s="67" t="s">
        <v>78</v>
      </c>
      <c r="B496" s="67" t="s">
        <v>378</v>
      </c>
      <c r="C496" s="108">
        <v>481</v>
      </c>
      <c r="D496" s="108">
        <v>473</v>
      </c>
      <c r="E496" s="108">
        <v>378</v>
      </c>
      <c r="F496" s="108">
        <v>123</v>
      </c>
      <c r="G496" s="108">
        <v>466</v>
      </c>
      <c r="H496" s="108">
        <v>268</v>
      </c>
      <c r="I496" s="92"/>
      <c r="J496" s="51">
        <f t="shared" si="36"/>
        <v>2.8860000000000001</v>
      </c>
      <c r="K496" s="50">
        <v>6</v>
      </c>
      <c r="L496" s="49">
        <f t="shared" si="37"/>
        <v>0.48099999999999998</v>
      </c>
      <c r="M496" s="48">
        <f t="shared" si="38"/>
        <v>481</v>
      </c>
      <c r="N496" s="52" t="s">
        <v>2004</v>
      </c>
      <c r="O496"/>
      <c r="P496"/>
    </row>
    <row r="497" spans="1:16" s="5" customFormat="1">
      <c r="A497" s="67" t="s">
        <v>78</v>
      </c>
      <c r="B497" s="67" t="s">
        <v>499</v>
      </c>
      <c r="C497" s="108">
        <v>359</v>
      </c>
      <c r="D497" s="108">
        <v>354</v>
      </c>
      <c r="E497" s="108">
        <v>280</v>
      </c>
      <c r="F497" s="108">
        <v>87</v>
      </c>
      <c r="G497" s="108">
        <v>347</v>
      </c>
      <c r="H497" s="108">
        <v>178</v>
      </c>
      <c r="I497" s="92"/>
      <c r="J497" s="51">
        <f t="shared" si="36"/>
        <v>2.1539999999999999</v>
      </c>
      <c r="K497" s="50">
        <v>6</v>
      </c>
      <c r="L497" s="49">
        <f t="shared" si="37"/>
        <v>0.35899999999999999</v>
      </c>
      <c r="M497" s="48">
        <f t="shared" si="38"/>
        <v>359</v>
      </c>
      <c r="N497" s="52" t="s">
        <v>2003</v>
      </c>
      <c r="O497"/>
      <c r="P497"/>
    </row>
    <row r="498" spans="1:16" s="5" customFormat="1">
      <c r="A498" s="67" t="s">
        <v>78</v>
      </c>
      <c r="B498" s="67" t="s">
        <v>562</v>
      </c>
      <c r="C498" s="108">
        <v>984</v>
      </c>
      <c r="D498" s="108">
        <v>967</v>
      </c>
      <c r="E498" s="108">
        <v>773</v>
      </c>
      <c r="F498" s="108">
        <v>248</v>
      </c>
      <c r="G498" s="108">
        <v>939</v>
      </c>
      <c r="H498" s="108">
        <v>512</v>
      </c>
      <c r="I498" s="92"/>
      <c r="J498" s="51">
        <f t="shared" si="36"/>
        <v>5.9039999999999999</v>
      </c>
      <c r="K498" s="50">
        <v>6</v>
      </c>
      <c r="L498" s="49">
        <f t="shared" si="37"/>
        <v>0.98399999999999999</v>
      </c>
      <c r="M498" s="48">
        <f t="shared" si="38"/>
        <v>984</v>
      </c>
      <c r="N498" s="47" t="s">
        <v>563</v>
      </c>
      <c r="O498"/>
      <c r="P498"/>
    </row>
    <row r="499" spans="1:16" s="5" customFormat="1">
      <c r="A499" s="67" t="s">
        <v>78</v>
      </c>
      <c r="B499" s="67" t="s">
        <v>753</v>
      </c>
      <c r="C499" s="108">
        <v>449</v>
      </c>
      <c r="D499" s="108">
        <v>435</v>
      </c>
      <c r="E499" s="108">
        <v>351</v>
      </c>
      <c r="F499" s="108">
        <v>102</v>
      </c>
      <c r="G499" s="108">
        <v>437</v>
      </c>
      <c r="H499" s="108">
        <v>222</v>
      </c>
      <c r="I499" s="92"/>
      <c r="J499" s="51">
        <f t="shared" si="36"/>
        <v>2.694</v>
      </c>
      <c r="K499" s="50">
        <v>6</v>
      </c>
      <c r="L499" s="49">
        <f t="shared" si="37"/>
        <v>0.44900000000000001</v>
      </c>
      <c r="M499" s="48">
        <f t="shared" si="38"/>
        <v>449</v>
      </c>
      <c r="N499" s="52" t="s">
        <v>2002</v>
      </c>
      <c r="O499"/>
      <c r="P499"/>
    </row>
    <row r="500" spans="1:16" s="5" customFormat="1">
      <c r="A500" s="67" t="s">
        <v>78</v>
      </c>
      <c r="B500" s="67" t="s">
        <v>787</v>
      </c>
      <c r="C500" s="108">
        <v>541</v>
      </c>
      <c r="D500" s="108">
        <v>514</v>
      </c>
      <c r="E500" s="108">
        <v>410</v>
      </c>
      <c r="F500" s="108">
        <v>114</v>
      </c>
      <c r="G500" s="108">
        <v>522</v>
      </c>
      <c r="H500" s="108">
        <v>272</v>
      </c>
      <c r="I500" s="92"/>
      <c r="J500" s="51">
        <f t="shared" si="36"/>
        <v>3.2460000000000004</v>
      </c>
      <c r="K500" s="50">
        <v>6</v>
      </c>
      <c r="L500" s="49">
        <f t="shared" si="37"/>
        <v>0.54100000000000004</v>
      </c>
      <c r="M500" s="48">
        <f t="shared" si="38"/>
        <v>541</v>
      </c>
      <c r="N500" s="52" t="s">
        <v>2001</v>
      </c>
      <c r="O500"/>
      <c r="P500"/>
    </row>
    <row r="501" spans="1:16" s="5" customFormat="1">
      <c r="A501" s="67" t="s">
        <v>78</v>
      </c>
      <c r="B501" s="67" t="s">
        <v>934</v>
      </c>
      <c r="C501" s="108">
        <v>1305</v>
      </c>
      <c r="D501" s="108">
        <v>1276</v>
      </c>
      <c r="E501" s="108">
        <v>1046</v>
      </c>
      <c r="F501" s="108">
        <v>364</v>
      </c>
      <c r="G501" s="108">
        <v>1280</v>
      </c>
      <c r="H501" s="108">
        <v>736</v>
      </c>
      <c r="I501" s="92"/>
      <c r="J501" s="51">
        <f t="shared" si="36"/>
        <v>7.83</v>
      </c>
      <c r="K501" s="50">
        <v>6</v>
      </c>
      <c r="L501" s="49">
        <f t="shared" si="37"/>
        <v>1.3049999999999999</v>
      </c>
      <c r="M501" s="48">
        <f t="shared" si="38"/>
        <v>1305</v>
      </c>
      <c r="N501" s="47" t="s">
        <v>935</v>
      </c>
      <c r="O501"/>
      <c r="P501"/>
    </row>
    <row r="502" spans="1:16" s="5" customFormat="1">
      <c r="A502" s="67" t="s">
        <v>78</v>
      </c>
      <c r="B502" s="67" t="s">
        <v>1004</v>
      </c>
      <c r="C502" s="108">
        <v>785</v>
      </c>
      <c r="D502" s="108">
        <v>766</v>
      </c>
      <c r="E502" s="108">
        <v>602</v>
      </c>
      <c r="F502" s="108">
        <v>269</v>
      </c>
      <c r="G502" s="108">
        <v>764</v>
      </c>
      <c r="H502" s="108">
        <v>527</v>
      </c>
      <c r="I502" s="92"/>
      <c r="J502" s="51">
        <f t="shared" si="36"/>
        <v>4.71</v>
      </c>
      <c r="K502" s="50">
        <v>6</v>
      </c>
      <c r="L502" s="49">
        <f t="shared" si="37"/>
        <v>0.78500000000000003</v>
      </c>
      <c r="M502" s="48">
        <f t="shared" si="38"/>
        <v>785</v>
      </c>
      <c r="N502" s="52" t="s">
        <v>2000</v>
      </c>
      <c r="O502"/>
      <c r="P502"/>
    </row>
    <row r="503" spans="1:16" s="5" customFormat="1">
      <c r="A503" s="67" t="s">
        <v>78</v>
      </c>
      <c r="B503" s="67" t="s">
        <v>1232</v>
      </c>
      <c r="C503" s="108">
        <v>323</v>
      </c>
      <c r="D503" s="108">
        <v>315</v>
      </c>
      <c r="E503" s="108">
        <v>246</v>
      </c>
      <c r="F503" s="108">
        <v>81</v>
      </c>
      <c r="G503" s="108">
        <v>313</v>
      </c>
      <c r="H503" s="108">
        <v>163</v>
      </c>
      <c r="I503" s="92"/>
      <c r="J503" s="51">
        <f t="shared" si="36"/>
        <v>1.9380000000000002</v>
      </c>
      <c r="K503" s="50">
        <v>6</v>
      </c>
      <c r="L503" s="49">
        <f t="shared" si="37"/>
        <v>0.32300000000000001</v>
      </c>
      <c r="M503" s="48">
        <f t="shared" si="38"/>
        <v>323</v>
      </c>
      <c r="N503" s="52" t="s">
        <v>1999</v>
      </c>
      <c r="O503"/>
      <c r="P503"/>
    </row>
    <row r="504" spans="1:16" s="5" customFormat="1">
      <c r="A504" s="67" t="s">
        <v>78</v>
      </c>
      <c r="B504" s="67" t="s">
        <v>1327</v>
      </c>
      <c r="C504" s="108">
        <v>328</v>
      </c>
      <c r="D504" s="108">
        <v>324</v>
      </c>
      <c r="E504" s="108">
        <v>284</v>
      </c>
      <c r="F504" s="108">
        <v>87</v>
      </c>
      <c r="G504" s="108">
        <v>322</v>
      </c>
      <c r="H504" s="108">
        <v>190</v>
      </c>
      <c r="I504" s="92"/>
      <c r="J504" s="51">
        <f t="shared" si="36"/>
        <v>1.968</v>
      </c>
      <c r="K504" s="50">
        <v>6</v>
      </c>
      <c r="L504" s="49">
        <f t="shared" si="37"/>
        <v>0.32800000000000001</v>
      </c>
      <c r="M504" s="48">
        <f t="shared" si="38"/>
        <v>328</v>
      </c>
      <c r="N504" s="52" t="s">
        <v>1998</v>
      </c>
      <c r="O504"/>
      <c r="P504"/>
    </row>
    <row r="505" spans="1:16" s="5" customFormat="1">
      <c r="A505" s="67" t="s">
        <v>78</v>
      </c>
      <c r="B505" s="67" t="s">
        <v>1440</v>
      </c>
      <c r="C505" s="108">
        <v>385</v>
      </c>
      <c r="D505" s="108">
        <v>373</v>
      </c>
      <c r="E505" s="108">
        <v>284</v>
      </c>
      <c r="F505" s="108">
        <v>92</v>
      </c>
      <c r="G505" s="108">
        <v>371</v>
      </c>
      <c r="H505" s="108">
        <v>217</v>
      </c>
      <c r="I505" s="92"/>
      <c r="J505" s="51">
        <f t="shared" si="36"/>
        <v>2.31</v>
      </c>
      <c r="K505" s="50">
        <v>6</v>
      </c>
      <c r="L505" s="49">
        <f t="shared" si="37"/>
        <v>0.38500000000000001</v>
      </c>
      <c r="M505" s="48">
        <f t="shared" si="38"/>
        <v>385</v>
      </c>
      <c r="N505" s="52" t="s">
        <v>1997</v>
      </c>
      <c r="O505"/>
      <c r="P505"/>
    </row>
    <row r="506" spans="1:16" s="5" customFormat="1">
      <c r="A506" s="67" t="s">
        <v>78</v>
      </c>
      <c r="B506" s="67" t="s">
        <v>1459</v>
      </c>
      <c r="C506" s="108">
        <v>452</v>
      </c>
      <c r="D506" s="108">
        <v>448</v>
      </c>
      <c r="E506" s="108">
        <v>389</v>
      </c>
      <c r="F506" s="108">
        <v>168</v>
      </c>
      <c r="G506" s="108">
        <v>442</v>
      </c>
      <c r="H506" s="108">
        <v>321</v>
      </c>
      <c r="I506" s="92"/>
      <c r="J506" s="51">
        <f t="shared" si="36"/>
        <v>2.7120000000000002</v>
      </c>
      <c r="K506" s="50">
        <v>6</v>
      </c>
      <c r="L506" s="49">
        <f t="shared" si="37"/>
        <v>0.45200000000000001</v>
      </c>
      <c r="M506" s="48">
        <f t="shared" si="38"/>
        <v>452</v>
      </c>
      <c r="N506" s="52" t="s">
        <v>1996</v>
      </c>
      <c r="O506"/>
      <c r="P506"/>
    </row>
    <row r="507" spans="1:16" s="5" customFormat="1">
      <c r="A507" s="67" t="s">
        <v>78</v>
      </c>
      <c r="B507" s="67" t="s">
        <v>1486</v>
      </c>
      <c r="C507" s="108">
        <v>13552</v>
      </c>
      <c r="D507" s="108">
        <v>13437</v>
      </c>
      <c r="E507" s="108">
        <v>11448</v>
      </c>
      <c r="F507" s="108">
        <v>4129</v>
      </c>
      <c r="G507" s="108">
        <v>13325</v>
      </c>
      <c r="H507" s="108">
        <v>8296</v>
      </c>
      <c r="I507" s="92"/>
      <c r="J507" s="51">
        <f t="shared" si="36"/>
        <v>67.759999999999991</v>
      </c>
      <c r="K507" s="50">
        <v>5</v>
      </c>
      <c r="L507" s="49">
        <f t="shared" si="37"/>
        <v>13.552</v>
      </c>
      <c r="M507" s="48">
        <f t="shared" si="38"/>
        <v>13552</v>
      </c>
      <c r="N507" s="47" t="s">
        <v>1487</v>
      </c>
      <c r="O507"/>
      <c r="P507"/>
    </row>
    <row r="508" spans="1:16" s="5" customFormat="1">
      <c r="A508" s="67" t="s">
        <v>78</v>
      </c>
      <c r="B508" s="67" t="s">
        <v>1500</v>
      </c>
      <c r="C508" s="108">
        <v>378</v>
      </c>
      <c r="D508" s="108">
        <v>370</v>
      </c>
      <c r="E508" s="108">
        <v>325</v>
      </c>
      <c r="F508" s="108">
        <v>92</v>
      </c>
      <c r="G508" s="108">
        <v>374</v>
      </c>
      <c r="H508" s="108">
        <v>217</v>
      </c>
      <c r="I508" s="92"/>
      <c r="J508" s="51">
        <f t="shared" si="36"/>
        <v>2.2679999999999998</v>
      </c>
      <c r="K508" s="50">
        <v>6</v>
      </c>
      <c r="L508" s="49">
        <f t="shared" si="37"/>
        <v>0.378</v>
      </c>
      <c r="M508" s="48">
        <f t="shared" si="38"/>
        <v>378</v>
      </c>
      <c r="N508" s="52" t="s">
        <v>1995</v>
      </c>
      <c r="O508"/>
      <c r="P508"/>
    </row>
    <row r="509" spans="1:16" s="5" customFormat="1">
      <c r="A509" s="67" t="s">
        <v>78</v>
      </c>
      <c r="B509" s="67" t="s">
        <v>1582</v>
      </c>
      <c r="C509" s="108">
        <v>369</v>
      </c>
      <c r="D509" s="108">
        <v>352</v>
      </c>
      <c r="E509" s="108">
        <v>267</v>
      </c>
      <c r="F509" s="108">
        <v>115</v>
      </c>
      <c r="G509" s="108">
        <v>365</v>
      </c>
      <c r="H509" s="108">
        <v>207</v>
      </c>
      <c r="I509" s="92"/>
      <c r="J509" s="51">
        <f t="shared" si="36"/>
        <v>2.214</v>
      </c>
      <c r="K509" s="50">
        <v>6</v>
      </c>
      <c r="L509" s="49">
        <f t="shared" si="37"/>
        <v>0.36899999999999999</v>
      </c>
      <c r="M509" s="48">
        <f t="shared" si="38"/>
        <v>369</v>
      </c>
      <c r="N509" s="52" t="s">
        <v>1994</v>
      </c>
      <c r="O509"/>
      <c r="P509"/>
    </row>
    <row r="510" spans="1:16" s="5" customFormat="1">
      <c r="A510" s="67" t="s">
        <v>78</v>
      </c>
      <c r="B510" s="67" t="s">
        <v>1626</v>
      </c>
      <c r="C510" s="108">
        <v>439</v>
      </c>
      <c r="D510" s="108">
        <v>429</v>
      </c>
      <c r="E510" s="108">
        <v>341</v>
      </c>
      <c r="F510" s="108">
        <v>110</v>
      </c>
      <c r="G510" s="108">
        <v>432</v>
      </c>
      <c r="H510" s="108">
        <v>232</v>
      </c>
      <c r="I510" s="92"/>
      <c r="J510" s="51">
        <f t="shared" si="36"/>
        <v>2.6339999999999999</v>
      </c>
      <c r="K510" s="50">
        <v>6</v>
      </c>
      <c r="L510" s="49">
        <f t="shared" si="37"/>
        <v>0.439</v>
      </c>
      <c r="M510" s="48">
        <f t="shared" si="38"/>
        <v>439</v>
      </c>
      <c r="N510" s="52" t="s">
        <v>1993</v>
      </c>
      <c r="O510"/>
      <c r="P510"/>
    </row>
    <row r="511" spans="1:16" s="5" customFormat="1">
      <c r="A511" s="67" t="s">
        <v>78</v>
      </c>
      <c r="B511" s="67" t="s">
        <v>1728</v>
      </c>
      <c r="C511" s="108">
        <v>376</v>
      </c>
      <c r="D511" s="108">
        <v>373</v>
      </c>
      <c r="E511" s="108">
        <v>319</v>
      </c>
      <c r="F511" s="108">
        <v>122</v>
      </c>
      <c r="G511" s="108">
        <v>368</v>
      </c>
      <c r="H511" s="108">
        <v>256</v>
      </c>
      <c r="I511" s="92"/>
      <c r="J511" s="51">
        <f t="shared" ref="J511:J532" si="39">+K511*L511</f>
        <v>2.2560000000000002</v>
      </c>
      <c r="K511" s="50">
        <v>6</v>
      </c>
      <c r="L511" s="49">
        <f t="shared" ref="L511:L532" si="40">+M511/1000</f>
        <v>0.376</v>
      </c>
      <c r="M511" s="48">
        <f t="shared" ref="M511:M532" si="41">+C511</f>
        <v>376</v>
      </c>
      <c r="N511" s="52" t="s">
        <v>1992</v>
      </c>
      <c r="O511"/>
      <c r="P511"/>
    </row>
    <row r="512" spans="1:16" s="5" customFormat="1">
      <c r="A512" s="67" t="s">
        <v>78</v>
      </c>
      <c r="B512" s="67" t="s">
        <v>1759</v>
      </c>
      <c r="C512" s="108">
        <v>848</v>
      </c>
      <c r="D512" s="108">
        <v>825</v>
      </c>
      <c r="E512" s="108">
        <v>663</v>
      </c>
      <c r="F512" s="108">
        <v>198</v>
      </c>
      <c r="G512" s="108">
        <v>831</v>
      </c>
      <c r="H512" s="108">
        <v>430</v>
      </c>
      <c r="I512" s="92"/>
      <c r="J512" s="51">
        <f t="shared" si="39"/>
        <v>5.0880000000000001</v>
      </c>
      <c r="K512" s="50">
        <v>6</v>
      </c>
      <c r="L512" s="49">
        <f t="shared" si="40"/>
        <v>0.84799999999999998</v>
      </c>
      <c r="M512" s="48">
        <f t="shared" si="41"/>
        <v>848</v>
      </c>
      <c r="N512" s="52" t="s">
        <v>1991</v>
      </c>
      <c r="O512"/>
      <c r="P512"/>
    </row>
    <row r="513" spans="1:16" s="5" customFormat="1">
      <c r="A513" s="67" t="s">
        <v>78</v>
      </c>
      <c r="B513" s="67" t="s">
        <v>1823</v>
      </c>
      <c r="C513" s="108">
        <v>2902</v>
      </c>
      <c r="D513" s="108">
        <v>2835</v>
      </c>
      <c r="E513" s="108">
        <v>2441</v>
      </c>
      <c r="F513" s="108">
        <v>910</v>
      </c>
      <c r="G513" s="108">
        <v>2858</v>
      </c>
      <c r="H513" s="108">
        <v>1851</v>
      </c>
      <c r="I513" s="92"/>
      <c r="J513" s="51">
        <f t="shared" si="39"/>
        <v>17.411999999999999</v>
      </c>
      <c r="K513" s="50">
        <v>6</v>
      </c>
      <c r="L513" s="49">
        <f t="shared" si="40"/>
        <v>2.9020000000000001</v>
      </c>
      <c r="M513" s="48">
        <f t="shared" si="41"/>
        <v>2902</v>
      </c>
      <c r="N513" s="47" t="s">
        <v>1824</v>
      </c>
      <c r="O513"/>
      <c r="P513"/>
    </row>
    <row r="514" spans="1:16" s="5" customFormat="1">
      <c r="A514" s="67" t="s">
        <v>78</v>
      </c>
      <c r="B514" s="67" t="s">
        <v>1917</v>
      </c>
      <c r="C514" s="108">
        <v>544</v>
      </c>
      <c r="D514" s="108">
        <v>528</v>
      </c>
      <c r="E514" s="108">
        <v>429</v>
      </c>
      <c r="F514" s="108">
        <v>142</v>
      </c>
      <c r="G514" s="108">
        <v>526</v>
      </c>
      <c r="H514" s="108">
        <v>325</v>
      </c>
      <c r="I514" s="92"/>
      <c r="J514" s="51">
        <f t="shared" si="39"/>
        <v>3.2640000000000002</v>
      </c>
      <c r="K514" s="50">
        <v>6</v>
      </c>
      <c r="L514" s="49">
        <f t="shared" si="40"/>
        <v>0.54400000000000004</v>
      </c>
      <c r="M514" s="48">
        <f t="shared" si="41"/>
        <v>544</v>
      </c>
      <c r="N514" s="52" t="s">
        <v>1990</v>
      </c>
      <c r="O514"/>
      <c r="P514"/>
    </row>
    <row r="515" spans="1:16" s="5" customFormat="1" ht="12">
      <c r="A515" s="40" t="s">
        <v>1958</v>
      </c>
      <c r="B515" s="40" t="s">
        <v>720</v>
      </c>
      <c r="C515" s="97">
        <v>1484</v>
      </c>
      <c r="D515" s="97">
        <v>1472</v>
      </c>
      <c r="E515" s="97">
        <v>1167</v>
      </c>
      <c r="F515" s="97">
        <v>437</v>
      </c>
      <c r="G515" s="97">
        <v>1461</v>
      </c>
      <c r="H515" s="97">
        <v>884</v>
      </c>
      <c r="I515" s="98"/>
      <c r="J515" s="10">
        <f t="shared" si="39"/>
        <v>8.9039999999999999</v>
      </c>
      <c r="K515" s="11">
        <v>6</v>
      </c>
      <c r="L515" s="12">
        <f t="shared" si="40"/>
        <v>1.484</v>
      </c>
      <c r="M515" s="13">
        <f t="shared" si="41"/>
        <v>1484</v>
      </c>
      <c r="N515" s="16" t="s">
        <v>721</v>
      </c>
    </row>
    <row r="516" spans="1:16" s="5" customFormat="1" ht="12">
      <c r="A516" s="40" t="s">
        <v>1958</v>
      </c>
      <c r="B516" s="40" t="s">
        <v>1460</v>
      </c>
      <c r="C516" s="97">
        <v>1469</v>
      </c>
      <c r="D516" s="97">
        <v>1450</v>
      </c>
      <c r="E516" s="97">
        <v>1150</v>
      </c>
      <c r="F516" s="97">
        <v>369</v>
      </c>
      <c r="G516" s="97">
        <v>1433</v>
      </c>
      <c r="H516" s="97">
        <v>772</v>
      </c>
      <c r="I516" s="98"/>
      <c r="J516" s="10">
        <f t="shared" si="39"/>
        <v>8.8140000000000001</v>
      </c>
      <c r="K516" s="11">
        <v>6</v>
      </c>
      <c r="L516" s="12">
        <f t="shared" si="40"/>
        <v>1.4690000000000001</v>
      </c>
      <c r="M516" s="13">
        <f t="shared" si="41"/>
        <v>1469</v>
      </c>
      <c r="N516" s="16" t="s">
        <v>1461</v>
      </c>
    </row>
    <row r="517" spans="1:16" s="5" customFormat="1" ht="12">
      <c r="A517" s="40" t="s">
        <v>1958</v>
      </c>
      <c r="B517" s="40" t="s">
        <v>1958</v>
      </c>
      <c r="C517" s="97">
        <v>4848</v>
      </c>
      <c r="D517" s="97">
        <v>4780</v>
      </c>
      <c r="E517" s="97">
        <v>3977</v>
      </c>
      <c r="F517" s="97">
        <v>1440</v>
      </c>
      <c r="G517" s="97">
        <v>4798</v>
      </c>
      <c r="H517" s="97">
        <v>3347</v>
      </c>
      <c r="I517" s="98"/>
      <c r="J517" s="10">
        <f t="shared" si="39"/>
        <v>29.088000000000001</v>
      </c>
      <c r="K517" s="11">
        <v>6</v>
      </c>
      <c r="L517" s="12">
        <f t="shared" si="40"/>
        <v>4.8479999999999999</v>
      </c>
      <c r="M517" s="13">
        <f t="shared" si="41"/>
        <v>4848</v>
      </c>
      <c r="N517" s="16" t="s">
        <v>1464</v>
      </c>
    </row>
    <row r="518" spans="1:16" s="5" customFormat="1" ht="12">
      <c r="A518" s="40" t="s">
        <v>1958</v>
      </c>
      <c r="B518" s="40" t="s">
        <v>1847</v>
      </c>
      <c r="C518" s="97">
        <v>1286</v>
      </c>
      <c r="D518" s="97">
        <v>1267</v>
      </c>
      <c r="E518" s="97">
        <v>973</v>
      </c>
      <c r="F518" s="97">
        <v>314</v>
      </c>
      <c r="G518" s="97">
        <v>1246</v>
      </c>
      <c r="H518" s="97">
        <v>662</v>
      </c>
      <c r="I518" s="98"/>
      <c r="J518" s="10">
        <f t="shared" si="39"/>
        <v>7.7160000000000002</v>
      </c>
      <c r="K518" s="11">
        <v>6</v>
      </c>
      <c r="L518" s="12">
        <f t="shared" si="40"/>
        <v>1.286</v>
      </c>
      <c r="M518" s="13">
        <f t="shared" si="41"/>
        <v>1286</v>
      </c>
      <c r="N518" s="16" t="s">
        <v>1848</v>
      </c>
    </row>
    <row r="519" spans="1:16" s="5" customFormat="1">
      <c r="A519" s="67" t="s">
        <v>101</v>
      </c>
      <c r="B519" s="67" t="s">
        <v>102</v>
      </c>
      <c r="C519" s="108">
        <v>736</v>
      </c>
      <c r="D519" s="108">
        <v>723</v>
      </c>
      <c r="E519" s="108">
        <v>528</v>
      </c>
      <c r="F519" s="108">
        <v>166</v>
      </c>
      <c r="G519" s="108">
        <v>713</v>
      </c>
      <c r="H519" s="108">
        <v>371</v>
      </c>
      <c r="I519" s="92"/>
      <c r="J519" s="51">
        <f t="shared" si="39"/>
        <v>4.4160000000000004</v>
      </c>
      <c r="K519" s="50">
        <v>6</v>
      </c>
      <c r="L519" s="49">
        <f t="shared" si="40"/>
        <v>0.73599999999999999</v>
      </c>
      <c r="M519" s="48">
        <f t="shared" si="41"/>
        <v>736</v>
      </c>
      <c r="N519" s="52" t="s">
        <v>2013</v>
      </c>
      <c r="O519"/>
      <c r="P519"/>
    </row>
    <row r="520" spans="1:16" s="5" customFormat="1">
      <c r="A520" s="67" t="s">
        <v>101</v>
      </c>
      <c r="B520" s="67" t="s">
        <v>423</v>
      </c>
      <c r="C520" s="108">
        <v>408</v>
      </c>
      <c r="D520" s="108">
        <v>404</v>
      </c>
      <c r="E520" s="108">
        <v>291</v>
      </c>
      <c r="F520" s="108">
        <v>96</v>
      </c>
      <c r="G520" s="108">
        <v>387</v>
      </c>
      <c r="H520" s="108">
        <v>202</v>
      </c>
      <c r="I520" s="92"/>
      <c r="J520" s="51">
        <f t="shared" si="39"/>
        <v>2.448</v>
      </c>
      <c r="K520" s="50">
        <v>6</v>
      </c>
      <c r="L520" s="49">
        <f t="shared" si="40"/>
        <v>0.40799999999999997</v>
      </c>
      <c r="M520" s="48">
        <f t="shared" si="41"/>
        <v>408</v>
      </c>
      <c r="N520" s="54" t="s">
        <v>2012</v>
      </c>
      <c r="O520"/>
      <c r="P520"/>
    </row>
    <row r="521" spans="1:16" s="5" customFormat="1">
      <c r="A521" s="67" t="s">
        <v>101</v>
      </c>
      <c r="B521" s="67" t="s">
        <v>595</v>
      </c>
      <c r="C521" s="108">
        <v>343</v>
      </c>
      <c r="D521" s="108">
        <v>333</v>
      </c>
      <c r="E521" s="108">
        <v>256</v>
      </c>
      <c r="F521" s="108">
        <v>85</v>
      </c>
      <c r="G521" s="108">
        <v>324</v>
      </c>
      <c r="H521" s="108">
        <v>195</v>
      </c>
      <c r="I521" s="92"/>
      <c r="J521" s="51">
        <f t="shared" si="39"/>
        <v>2.0580000000000003</v>
      </c>
      <c r="K521" s="50">
        <v>6</v>
      </c>
      <c r="L521" s="49">
        <f t="shared" si="40"/>
        <v>0.34300000000000003</v>
      </c>
      <c r="M521" s="48">
        <f t="shared" si="41"/>
        <v>343</v>
      </c>
      <c r="N521" s="52" t="s">
        <v>2011</v>
      </c>
      <c r="O521"/>
      <c r="P521"/>
    </row>
    <row r="522" spans="1:16" s="5" customFormat="1">
      <c r="A522" s="67" t="s">
        <v>101</v>
      </c>
      <c r="B522" s="67" t="s">
        <v>685</v>
      </c>
      <c r="C522" s="108">
        <v>300</v>
      </c>
      <c r="D522" s="108">
        <v>297</v>
      </c>
      <c r="E522" s="108">
        <v>241</v>
      </c>
      <c r="F522" s="108">
        <v>69</v>
      </c>
      <c r="G522" s="108">
        <v>295</v>
      </c>
      <c r="H522" s="108">
        <v>143</v>
      </c>
      <c r="I522" s="92"/>
      <c r="J522" s="51">
        <f t="shared" si="39"/>
        <v>1.7999999999999998</v>
      </c>
      <c r="K522" s="50">
        <v>6</v>
      </c>
      <c r="L522" s="49">
        <f t="shared" si="40"/>
        <v>0.3</v>
      </c>
      <c r="M522" s="48">
        <f t="shared" si="41"/>
        <v>300</v>
      </c>
      <c r="N522" s="52" t="s">
        <v>2010</v>
      </c>
      <c r="O522"/>
      <c r="P522"/>
    </row>
    <row r="523" spans="1:16" s="5" customFormat="1">
      <c r="A523" s="67" t="s">
        <v>101</v>
      </c>
      <c r="B523" s="67" t="s">
        <v>1025</v>
      </c>
      <c r="C523" s="108">
        <v>504</v>
      </c>
      <c r="D523" s="108">
        <v>489</v>
      </c>
      <c r="E523" s="108">
        <v>366</v>
      </c>
      <c r="F523" s="108">
        <v>70</v>
      </c>
      <c r="G523" s="108">
        <v>492</v>
      </c>
      <c r="H523" s="108">
        <v>202</v>
      </c>
      <c r="I523" s="92"/>
      <c r="J523" s="51">
        <f t="shared" si="39"/>
        <v>3.024</v>
      </c>
      <c r="K523" s="50">
        <v>6</v>
      </c>
      <c r="L523" s="49">
        <f t="shared" si="40"/>
        <v>0.504</v>
      </c>
      <c r="M523" s="48">
        <f t="shared" si="41"/>
        <v>504</v>
      </c>
      <c r="N523" s="52" t="s">
        <v>2009</v>
      </c>
      <c r="O523"/>
      <c r="P523"/>
    </row>
    <row r="524" spans="1:16" s="5" customFormat="1">
      <c r="A524" s="67" t="s">
        <v>101</v>
      </c>
      <c r="B524" s="67" t="s">
        <v>101</v>
      </c>
      <c r="C524" s="108">
        <v>5305</v>
      </c>
      <c r="D524" s="108">
        <v>5244</v>
      </c>
      <c r="E524" s="108">
        <v>4470</v>
      </c>
      <c r="F524" s="108">
        <v>1540</v>
      </c>
      <c r="G524" s="108">
        <v>5179</v>
      </c>
      <c r="H524" s="108">
        <v>3117</v>
      </c>
      <c r="I524" s="92"/>
      <c r="J524" s="51">
        <f t="shared" si="39"/>
        <v>31.83</v>
      </c>
      <c r="K524" s="50">
        <v>6</v>
      </c>
      <c r="L524" s="49">
        <f t="shared" si="40"/>
        <v>5.3049999999999997</v>
      </c>
      <c r="M524" s="48">
        <f t="shared" si="41"/>
        <v>5305</v>
      </c>
      <c r="N524" s="47" t="s">
        <v>1478</v>
      </c>
      <c r="O524"/>
      <c r="P524"/>
    </row>
    <row r="525" spans="1:16" s="5" customFormat="1">
      <c r="A525" s="67" t="s">
        <v>101</v>
      </c>
      <c r="B525" s="67" t="s">
        <v>1621</v>
      </c>
      <c r="C525" s="108">
        <v>380</v>
      </c>
      <c r="D525" s="108">
        <v>372</v>
      </c>
      <c r="E525" s="108">
        <v>290</v>
      </c>
      <c r="F525" s="108">
        <v>76</v>
      </c>
      <c r="G525" s="108">
        <v>373</v>
      </c>
      <c r="H525" s="108">
        <v>170</v>
      </c>
      <c r="I525" s="92"/>
      <c r="J525" s="51">
        <f t="shared" si="39"/>
        <v>2.2800000000000002</v>
      </c>
      <c r="K525" s="50">
        <v>6</v>
      </c>
      <c r="L525" s="49">
        <f t="shared" si="40"/>
        <v>0.38</v>
      </c>
      <c r="M525" s="48">
        <f t="shared" si="41"/>
        <v>380</v>
      </c>
      <c r="N525" s="52" t="s">
        <v>2008</v>
      </c>
      <c r="O525"/>
      <c r="P525"/>
    </row>
    <row r="526" spans="1:16" s="5" customFormat="1" ht="12">
      <c r="A526" s="40" t="s">
        <v>18</v>
      </c>
      <c r="B526" s="40" t="s">
        <v>19</v>
      </c>
      <c r="C526" s="97">
        <v>425</v>
      </c>
      <c r="D526" s="97">
        <v>424</v>
      </c>
      <c r="E526" s="97">
        <v>362</v>
      </c>
      <c r="F526" s="97">
        <v>121</v>
      </c>
      <c r="G526" s="97">
        <v>420</v>
      </c>
      <c r="H526" s="97">
        <v>236</v>
      </c>
      <c r="I526" s="98"/>
      <c r="J526" s="10">
        <f t="shared" si="39"/>
        <v>2.5499999999999998</v>
      </c>
      <c r="K526" s="11">
        <v>6</v>
      </c>
      <c r="L526" s="12">
        <f t="shared" si="40"/>
        <v>0.42499999999999999</v>
      </c>
      <c r="M526" s="13">
        <f t="shared" si="41"/>
        <v>425</v>
      </c>
      <c r="N526" s="14" t="s">
        <v>20</v>
      </c>
    </row>
    <row r="527" spans="1:16" s="5" customFormat="1" ht="12">
      <c r="A527" s="40" t="s">
        <v>18</v>
      </c>
      <c r="B527" s="40" t="s">
        <v>654</v>
      </c>
      <c r="C527" s="97">
        <v>1127</v>
      </c>
      <c r="D527" s="97">
        <v>1112</v>
      </c>
      <c r="E527" s="97">
        <v>937</v>
      </c>
      <c r="F527" s="97">
        <v>276</v>
      </c>
      <c r="G527" s="97">
        <v>1096</v>
      </c>
      <c r="H527" s="97">
        <v>646</v>
      </c>
      <c r="I527" s="98"/>
      <c r="J527" s="10">
        <f t="shared" si="39"/>
        <v>6.7620000000000005</v>
      </c>
      <c r="K527" s="11">
        <v>6</v>
      </c>
      <c r="L527" s="12">
        <f t="shared" si="40"/>
        <v>1.127</v>
      </c>
      <c r="M527" s="13">
        <f t="shared" si="41"/>
        <v>1127</v>
      </c>
      <c r="N527" s="16" t="s">
        <v>655</v>
      </c>
    </row>
    <row r="528" spans="1:16" s="5" customFormat="1" ht="12">
      <c r="A528" s="40" t="s">
        <v>18</v>
      </c>
      <c r="B528" s="40" t="s">
        <v>950</v>
      </c>
      <c r="C528" s="97">
        <v>2096</v>
      </c>
      <c r="D528" s="97">
        <v>2080</v>
      </c>
      <c r="E528" s="97">
        <v>1820</v>
      </c>
      <c r="F528" s="97">
        <v>620</v>
      </c>
      <c r="G528" s="97">
        <v>2072</v>
      </c>
      <c r="H528" s="97">
        <v>1295</v>
      </c>
      <c r="I528" s="98"/>
      <c r="J528" s="10">
        <f t="shared" si="39"/>
        <v>12.576000000000001</v>
      </c>
      <c r="K528" s="11">
        <v>6</v>
      </c>
      <c r="L528" s="12">
        <f t="shared" si="40"/>
        <v>2.0960000000000001</v>
      </c>
      <c r="M528" s="13">
        <f t="shared" si="41"/>
        <v>2096</v>
      </c>
      <c r="N528" s="16" t="s">
        <v>951</v>
      </c>
    </row>
    <row r="529" spans="1:16" s="5" customFormat="1" ht="12">
      <c r="A529" s="40" t="s">
        <v>18</v>
      </c>
      <c r="B529" s="40" t="s">
        <v>18</v>
      </c>
      <c r="C529" s="97">
        <v>6216</v>
      </c>
      <c r="D529" s="97">
        <v>6121</v>
      </c>
      <c r="E529" s="97">
        <v>5234</v>
      </c>
      <c r="F529" s="97">
        <v>1871</v>
      </c>
      <c r="G529" s="97">
        <v>6133</v>
      </c>
      <c r="H529" s="97">
        <v>4118</v>
      </c>
      <c r="I529" s="98"/>
      <c r="J529" s="10">
        <f t="shared" si="39"/>
        <v>37.295999999999999</v>
      </c>
      <c r="K529" s="11">
        <v>6</v>
      </c>
      <c r="L529" s="12">
        <f t="shared" si="40"/>
        <v>6.2160000000000002</v>
      </c>
      <c r="M529" s="13">
        <f t="shared" si="41"/>
        <v>6216</v>
      </c>
      <c r="N529" s="16" t="s">
        <v>1543</v>
      </c>
    </row>
    <row r="530" spans="1:16" s="5" customFormat="1" ht="12">
      <c r="A530" s="40" t="s">
        <v>18</v>
      </c>
      <c r="B530" s="40" t="s">
        <v>1861</v>
      </c>
      <c r="C530" s="97">
        <v>18634</v>
      </c>
      <c r="D530" s="97">
        <v>18503</v>
      </c>
      <c r="E530" s="97">
        <v>15851</v>
      </c>
      <c r="F530" s="97">
        <v>5676</v>
      </c>
      <c r="G530" s="97">
        <v>18360</v>
      </c>
      <c r="H530" s="97">
        <v>11806</v>
      </c>
      <c r="I530" s="98"/>
      <c r="J530" s="10">
        <f t="shared" si="39"/>
        <v>74.536000000000001</v>
      </c>
      <c r="K530" s="11">
        <v>4</v>
      </c>
      <c r="L530" s="12">
        <f t="shared" si="40"/>
        <v>18.634</v>
      </c>
      <c r="M530" s="13">
        <f t="shared" si="41"/>
        <v>18634</v>
      </c>
      <c r="N530" s="16" t="s">
        <v>1862</v>
      </c>
    </row>
    <row r="531" spans="1:16" s="5" customFormat="1" ht="12">
      <c r="A531" s="40" t="s">
        <v>133</v>
      </c>
      <c r="B531" s="40" t="s">
        <v>133</v>
      </c>
      <c r="C531" s="97">
        <v>11165</v>
      </c>
      <c r="D531" s="97">
        <v>10996</v>
      </c>
      <c r="E531" s="97">
        <v>9262</v>
      </c>
      <c r="F531" s="97">
        <v>3254</v>
      </c>
      <c r="G531" s="97">
        <v>10958</v>
      </c>
      <c r="H531" s="97">
        <v>6632</v>
      </c>
      <c r="I531" s="98"/>
      <c r="J531" s="10">
        <f t="shared" si="39"/>
        <v>55.824999999999996</v>
      </c>
      <c r="K531" s="11">
        <v>5</v>
      </c>
      <c r="L531" s="12">
        <f t="shared" si="40"/>
        <v>11.164999999999999</v>
      </c>
      <c r="M531" s="13">
        <f t="shared" si="41"/>
        <v>11165</v>
      </c>
      <c r="N531" s="16" t="s">
        <v>1620</v>
      </c>
    </row>
    <row r="532" spans="1:16" s="5" customFormat="1" ht="12">
      <c r="A532" s="40" t="s">
        <v>656</v>
      </c>
      <c r="B532" s="40" t="s">
        <v>656</v>
      </c>
      <c r="C532" s="97">
        <v>4404</v>
      </c>
      <c r="D532" s="97">
        <v>4322</v>
      </c>
      <c r="E532" s="97">
        <v>3622</v>
      </c>
      <c r="F532" s="97">
        <v>1276</v>
      </c>
      <c r="G532" s="97">
        <v>4337</v>
      </c>
      <c r="H532" s="97">
        <v>2948</v>
      </c>
      <c r="I532" s="98"/>
      <c r="J532" s="10">
        <f t="shared" si="39"/>
        <v>26.423999999999999</v>
      </c>
      <c r="K532" s="11">
        <v>6</v>
      </c>
      <c r="L532" s="12">
        <f t="shared" si="40"/>
        <v>4.4039999999999999</v>
      </c>
      <c r="M532" s="13">
        <f t="shared" si="41"/>
        <v>4404</v>
      </c>
      <c r="N532" s="16" t="s">
        <v>1731</v>
      </c>
    </row>
    <row r="533" spans="1:16" s="5" customFormat="1" ht="12">
      <c r="A533" s="64" t="s">
        <v>128</v>
      </c>
      <c r="B533" s="64" t="s">
        <v>129</v>
      </c>
      <c r="C533" s="19">
        <v>871</v>
      </c>
      <c r="D533" s="19">
        <v>863</v>
      </c>
      <c r="E533" s="19">
        <v>724</v>
      </c>
      <c r="F533" s="19">
        <v>164</v>
      </c>
      <c r="G533" s="19">
        <v>855</v>
      </c>
      <c r="H533" s="19">
        <v>465</v>
      </c>
      <c r="I533" s="101"/>
      <c r="J533" s="17">
        <v>5.226</v>
      </c>
      <c r="K533" s="17">
        <v>6</v>
      </c>
      <c r="L533" s="18">
        <v>0.871</v>
      </c>
      <c r="M533" s="19">
        <v>871</v>
      </c>
      <c r="N533" s="22" t="s">
        <v>130</v>
      </c>
      <c r="O533" s="23">
        <v>871</v>
      </c>
      <c r="P533" s="24"/>
    </row>
    <row r="534" spans="1:16" s="5" customFormat="1" ht="12">
      <c r="A534" s="64" t="s">
        <v>128</v>
      </c>
      <c r="B534" s="64" t="s">
        <v>148</v>
      </c>
      <c r="C534" s="19">
        <v>409</v>
      </c>
      <c r="D534" s="19">
        <v>402</v>
      </c>
      <c r="E534" s="19">
        <v>329</v>
      </c>
      <c r="F534" s="19">
        <v>82</v>
      </c>
      <c r="G534" s="19">
        <v>406</v>
      </c>
      <c r="H534" s="19">
        <v>223</v>
      </c>
      <c r="I534" s="101"/>
      <c r="J534" s="17">
        <v>2.4540000000000002</v>
      </c>
      <c r="K534" s="17">
        <v>6</v>
      </c>
      <c r="L534" s="18">
        <v>0.40899999999999997</v>
      </c>
      <c r="M534" s="19">
        <v>409</v>
      </c>
      <c r="N534" s="22" t="s">
        <v>149</v>
      </c>
      <c r="O534" s="23">
        <v>409</v>
      </c>
      <c r="P534" s="24"/>
    </row>
    <row r="535" spans="1:16" s="5" customFormat="1" ht="12">
      <c r="A535" s="64" t="s">
        <v>128</v>
      </c>
      <c r="B535" s="64" t="s">
        <v>296</v>
      </c>
      <c r="C535" s="19">
        <v>828</v>
      </c>
      <c r="D535" s="19">
        <v>810</v>
      </c>
      <c r="E535" s="19">
        <v>658</v>
      </c>
      <c r="F535" s="19">
        <v>171</v>
      </c>
      <c r="G535" s="19">
        <v>794</v>
      </c>
      <c r="H535" s="19">
        <v>426</v>
      </c>
      <c r="I535" s="101"/>
      <c r="J535" s="17">
        <v>4.968</v>
      </c>
      <c r="K535" s="17">
        <v>6</v>
      </c>
      <c r="L535" s="18">
        <v>0.82799999999999996</v>
      </c>
      <c r="M535" s="19">
        <v>828</v>
      </c>
      <c r="N535" s="22" t="s">
        <v>297</v>
      </c>
      <c r="O535" s="23">
        <v>828</v>
      </c>
      <c r="P535" s="24"/>
    </row>
    <row r="536" spans="1:16" s="5" customFormat="1" ht="12">
      <c r="A536" s="64" t="s">
        <v>128</v>
      </c>
      <c r="B536" s="64" t="s">
        <v>479</v>
      </c>
      <c r="C536" s="19">
        <v>3092</v>
      </c>
      <c r="D536" s="19">
        <v>3038</v>
      </c>
      <c r="E536" s="19">
        <v>2578</v>
      </c>
      <c r="F536" s="19">
        <v>699</v>
      </c>
      <c r="G536" s="19">
        <v>3012</v>
      </c>
      <c r="H536" s="19">
        <v>1714</v>
      </c>
      <c r="I536" s="101"/>
      <c r="J536" s="17">
        <v>6.42</v>
      </c>
      <c r="K536" s="17">
        <v>6</v>
      </c>
      <c r="L536" s="18">
        <v>1.07</v>
      </c>
      <c r="M536" s="19">
        <v>1070</v>
      </c>
      <c r="N536" s="22" t="s">
        <v>480</v>
      </c>
      <c r="O536" s="23">
        <v>1070</v>
      </c>
      <c r="P536" s="24"/>
    </row>
    <row r="537" spans="1:16" s="5" customFormat="1" ht="12">
      <c r="A537" s="64" t="s">
        <v>128</v>
      </c>
      <c r="B537" s="64" t="s">
        <v>527</v>
      </c>
      <c r="C537" s="19">
        <v>816</v>
      </c>
      <c r="D537" s="19">
        <v>798</v>
      </c>
      <c r="E537" s="19">
        <v>699</v>
      </c>
      <c r="F537" s="19">
        <v>225</v>
      </c>
      <c r="G537" s="19">
        <v>800</v>
      </c>
      <c r="H537" s="19">
        <v>534</v>
      </c>
      <c r="I537" s="101"/>
      <c r="J537" s="17">
        <v>4.8959999999999999</v>
      </c>
      <c r="K537" s="17">
        <v>6</v>
      </c>
      <c r="L537" s="18">
        <v>0.81599999999999995</v>
      </c>
      <c r="M537" s="19">
        <v>816</v>
      </c>
      <c r="N537" s="22" t="s">
        <v>528</v>
      </c>
      <c r="O537" s="23">
        <v>816</v>
      </c>
      <c r="P537" s="24"/>
    </row>
    <row r="538" spans="1:16" s="5" customFormat="1" ht="12">
      <c r="A538" s="64" t="s">
        <v>128</v>
      </c>
      <c r="B538" s="64" t="s">
        <v>537</v>
      </c>
      <c r="C538" s="19">
        <v>1077</v>
      </c>
      <c r="D538" s="19">
        <v>1064</v>
      </c>
      <c r="E538" s="19">
        <v>955</v>
      </c>
      <c r="F538" s="19">
        <v>298</v>
      </c>
      <c r="G538" s="19">
        <v>1057</v>
      </c>
      <c r="H538" s="19">
        <v>681</v>
      </c>
      <c r="I538" s="101"/>
      <c r="J538" s="17">
        <v>6.4619999999999997</v>
      </c>
      <c r="K538" s="17">
        <v>6</v>
      </c>
      <c r="L538" s="18">
        <v>1.077</v>
      </c>
      <c r="M538" s="19">
        <v>1077</v>
      </c>
      <c r="N538" s="22" t="s">
        <v>538</v>
      </c>
      <c r="O538" s="23">
        <v>1077</v>
      </c>
      <c r="P538" s="24"/>
    </row>
    <row r="539" spans="1:16" s="5" customFormat="1" ht="12">
      <c r="A539" s="64" t="s">
        <v>128</v>
      </c>
      <c r="B539" s="64" t="s">
        <v>548</v>
      </c>
      <c r="C539" s="19">
        <v>461</v>
      </c>
      <c r="D539" s="19">
        <v>450</v>
      </c>
      <c r="E539" s="19">
        <v>359</v>
      </c>
      <c r="F539" s="19">
        <v>68</v>
      </c>
      <c r="G539" s="19">
        <v>454</v>
      </c>
      <c r="H539" s="19">
        <v>213</v>
      </c>
      <c r="I539" s="101"/>
      <c r="J539" s="17">
        <v>2.766</v>
      </c>
      <c r="K539" s="17">
        <v>6</v>
      </c>
      <c r="L539" s="18">
        <v>0.46100000000000002</v>
      </c>
      <c r="M539" s="19">
        <v>461</v>
      </c>
      <c r="N539" s="22" t="s">
        <v>549</v>
      </c>
      <c r="O539" s="23">
        <v>461</v>
      </c>
      <c r="P539" s="24"/>
    </row>
    <row r="540" spans="1:16" s="5" customFormat="1" ht="12">
      <c r="A540" s="64" t="s">
        <v>128</v>
      </c>
      <c r="B540" s="64" t="s">
        <v>616</v>
      </c>
      <c r="C540" s="19">
        <v>1098</v>
      </c>
      <c r="D540" s="19">
        <v>1078</v>
      </c>
      <c r="E540" s="19">
        <v>928</v>
      </c>
      <c r="F540" s="19">
        <v>288</v>
      </c>
      <c r="G540" s="19">
        <v>1091</v>
      </c>
      <c r="H540" s="19">
        <v>690</v>
      </c>
      <c r="I540" s="101"/>
      <c r="J540" s="17">
        <v>6.5880000000000001</v>
      </c>
      <c r="K540" s="17">
        <v>6</v>
      </c>
      <c r="L540" s="18">
        <v>1.0980000000000001</v>
      </c>
      <c r="M540" s="19">
        <v>1098</v>
      </c>
      <c r="N540" s="22" t="s">
        <v>617</v>
      </c>
      <c r="O540" s="23">
        <v>1098</v>
      </c>
      <c r="P540" s="24"/>
    </row>
    <row r="541" spans="1:16" s="5" customFormat="1" ht="12">
      <c r="A541" s="64" t="s">
        <v>128</v>
      </c>
      <c r="B541" s="64" t="s">
        <v>658</v>
      </c>
      <c r="C541" s="19">
        <v>385</v>
      </c>
      <c r="D541" s="19">
        <v>375</v>
      </c>
      <c r="E541" s="19">
        <v>322</v>
      </c>
      <c r="F541" s="19">
        <v>54</v>
      </c>
      <c r="G541" s="19">
        <v>380</v>
      </c>
      <c r="H541" s="19">
        <v>181</v>
      </c>
      <c r="I541" s="101"/>
      <c r="J541" s="17">
        <v>2.31</v>
      </c>
      <c r="K541" s="17">
        <v>6</v>
      </c>
      <c r="L541" s="18">
        <v>0.38500000000000001</v>
      </c>
      <c r="M541" s="19">
        <v>385</v>
      </c>
      <c r="N541" s="22" t="s">
        <v>659</v>
      </c>
      <c r="O541" s="23">
        <v>385</v>
      </c>
      <c r="P541" s="24"/>
    </row>
    <row r="542" spans="1:16" s="5" customFormat="1" ht="12">
      <c r="A542" s="64" t="s">
        <v>128</v>
      </c>
      <c r="B542" s="64" t="s">
        <v>678</v>
      </c>
      <c r="C542" s="19">
        <v>1237</v>
      </c>
      <c r="D542" s="19">
        <v>1216</v>
      </c>
      <c r="E542" s="19">
        <v>1045</v>
      </c>
      <c r="F542" s="19">
        <v>270</v>
      </c>
      <c r="G542" s="19">
        <v>1222</v>
      </c>
      <c r="H542" s="19">
        <v>668</v>
      </c>
      <c r="I542" s="101"/>
      <c r="J542" s="17">
        <v>7.4219999999999997</v>
      </c>
      <c r="K542" s="17">
        <v>6</v>
      </c>
      <c r="L542" s="18">
        <v>1.2370000000000001</v>
      </c>
      <c r="M542" s="19">
        <v>1237</v>
      </c>
      <c r="N542" s="22" t="s">
        <v>679</v>
      </c>
      <c r="O542" s="23">
        <v>1237</v>
      </c>
      <c r="P542" s="24"/>
    </row>
    <row r="543" spans="1:16" s="5" customFormat="1" ht="11.25" customHeight="1">
      <c r="A543" s="64" t="s">
        <v>128</v>
      </c>
      <c r="B543" s="64" t="s">
        <v>683</v>
      </c>
      <c r="C543" s="19">
        <v>1306</v>
      </c>
      <c r="D543" s="19">
        <v>1262</v>
      </c>
      <c r="E543" s="19">
        <v>1090</v>
      </c>
      <c r="F543" s="19">
        <v>287</v>
      </c>
      <c r="G543" s="19">
        <v>1288</v>
      </c>
      <c r="H543" s="19">
        <v>746</v>
      </c>
      <c r="I543" s="101"/>
      <c r="J543" s="17">
        <v>7.8360000000000003</v>
      </c>
      <c r="K543" s="17">
        <v>6</v>
      </c>
      <c r="L543" s="18">
        <v>1.306</v>
      </c>
      <c r="M543" s="19">
        <v>1306</v>
      </c>
      <c r="N543" s="22" t="s">
        <v>684</v>
      </c>
      <c r="O543" s="23">
        <v>1306</v>
      </c>
      <c r="P543" s="24"/>
    </row>
    <row r="544" spans="1:16" s="5" customFormat="1" ht="11.25" customHeight="1">
      <c r="A544" s="64" t="s">
        <v>128</v>
      </c>
      <c r="B544" s="64" t="s">
        <v>710</v>
      </c>
      <c r="C544" s="19">
        <v>812</v>
      </c>
      <c r="D544" s="19">
        <v>803</v>
      </c>
      <c r="E544" s="19">
        <v>688</v>
      </c>
      <c r="F544" s="19">
        <v>225</v>
      </c>
      <c r="G544" s="19">
        <v>802</v>
      </c>
      <c r="H544" s="19">
        <v>503</v>
      </c>
      <c r="I544" s="101"/>
      <c r="J544" s="17">
        <v>4.8719999999999999</v>
      </c>
      <c r="K544" s="17">
        <v>6</v>
      </c>
      <c r="L544" s="18">
        <v>0.81200000000000006</v>
      </c>
      <c r="M544" s="19">
        <v>812</v>
      </c>
      <c r="N544" s="22" t="s">
        <v>711</v>
      </c>
      <c r="O544" s="23">
        <v>812</v>
      </c>
      <c r="P544" s="24"/>
    </row>
    <row r="545" spans="1:16" s="5" customFormat="1" ht="11.25" customHeight="1">
      <c r="A545" s="64" t="s">
        <v>128</v>
      </c>
      <c r="B545" s="64" t="s">
        <v>718</v>
      </c>
      <c r="C545" s="19">
        <v>300</v>
      </c>
      <c r="D545" s="19">
        <v>287</v>
      </c>
      <c r="E545" s="19">
        <v>244</v>
      </c>
      <c r="F545" s="19">
        <v>68</v>
      </c>
      <c r="G545" s="19">
        <v>299</v>
      </c>
      <c r="H545" s="19">
        <v>169</v>
      </c>
      <c r="I545" s="101"/>
      <c r="J545" s="17">
        <v>1.8</v>
      </c>
      <c r="K545" s="17">
        <v>6</v>
      </c>
      <c r="L545" s="18">
        <v>0.3</v>
      </c>
      <c r="M545" s="19">
        <v>300</v>
      </c>
      <c r="N545" s="22" t="s">
        <v>719</v>
      </c>
      <c r="O545" s="23">
        <v>300</v>
      </c>
      <c r="P545" s="24"/>
    </row>
    <row r="546" spans="1:16" s="5" customFormat="1" ht="11.25" customHeight="1">
      <c r="A546" s="64" t="s">
        <v>128</v>
      </c>
      <c r="B546" s="64" t="s">
        <v>782</v>
      </c>
      <c r="C546" s="19">
        <v>324</v>
      </c>
      <c r="D546" s="19">
        <v>316</v>
      </c>
      <c r="E546" s="19">
        <v>256</v>
      </c>
      <c r="F546" s="19">
        <v>48</v>
      </c>
      <c r="G546" s="19">
        <v>318</v>
      </c>
      <c r="H546" s="19">
        <v>151</v>
      </c>
      <c r="I546" s="101"/>
      <c r="J546" s="17">
        <v>1.944</v>
      </c>
      <c r="K546" s="17">
        <v>6</v>
      </c>
      <c r="L546" s="18">
        <v>0.32400000000000001</v>
      </c>
      <c r="M546" s="19">
        <v>324</v>
      </c>
      <c r="N546" s="22" t="s">
        <v>783</v>
      </c>
      <c r="O546" s="23">
        <v>324</v>
      </c>
      <c r="P546" s="24"/>
    </row>
    <row r="547" spans="1:16" s="5" customFormat="1" ht="11.25" customHeight="1">
      <c r="A547" s="64" t="s">
        <v>128</v>
      </c>
      <c r="B547" s="64" t="s">
        <v>830</v>
      </c>
      <c r="C547" s="19">
        <v>3241</v>
      </c>
      <c r="D547" s="19">
        <v>3179</v>
      </c>
      <c r="E547" s="19">
        <v>2793</v>
      </c>
      <c r="F547" s="19">
        <v>864</v>
      </c>
      <c r="G547" s="19">
        <v>3210</v>
      </c>
      <c r="H547" s="19">
        <v>2028</v>
      </c>
      <c r="I547" s="101"/>
      <c r="J547" s="17">
        <v>19.446000000000002</v>
      </c>
      <c r="K547" s="17">
        <v>6</v>
      </c>
      <c r="L547" s="18">
        <v>3.2410000000000001</v>
      </c>
      <c r="M547" s="19">
        <v>3241</v>
      </c>
      <c r="N547" s="22" t="s">
        <v>831</v>
      </c>
      <c r="O547" s="23">
        <v>3241</v>
      </c>
      <c r="P547" s="24"/>
    </row>
    <row r="548" spans="1:16" s="5" customFormat="1" ht="11.25" customHeight="1">
      <c r="A548" s="64" t="s">
        <v>128</v>
      </c>
      <c r="B548" s="64" t="s">
        <v>836</v>
      </c>
      <c r="C548" s="19">
        <v>2098</v>
      </c>
      <c r="D548" s="19">
        <v>2055</v>
      </c>
      <c r="E548" s="19">
        <v>1805</v>
      </c>
      <c r="F548" s="19">
        <v>503</v>
      </c>
      <c r="G548" s="19">
        <v>2073</v>
      </c>
      <c r="H548" s="19">
        <v>1167</v>
      </c>
      <c r="I548" s="101"/>
      <c r="J548" s="17">
        <v>12.587999999999999</v>
      </c>
      <c r="K548" s="17">
        <v>6</v>
      </c>
      <c r="L548" s="18">
        <v>2.0979999999999999</v>
      </c>
      <c r="M548" s="19">
        <v>2098</v>
      </c>
      <c r="N548" s="22" t="s">
        <v>837</v>
      </c>
      <c r="O548" s="23">
        <v>2098</v>
      </c>
      <c r="P548" s="24"/>
    </row>
    <row r="549" spans="1:16" s="5" customFormat="1" ht="11.25" customHeight="1">
      <c r="A549" s="64" t="s">
        <v>128</v>
      </c>
      <c r="B549" s="64" t="s">
        <v>841</v>
      </c>
      <c r="C549" s="19">
        <v>3502</v>
      </c>
      <c r="D549" s="19">
        <v>3440</v>
      </c>
      <c r="E549" s="19">
        <v>3013</v>
      </c>
      <c r="F549" s="19">
        <v>917</v>
      </c>
      <c r="G549" s="19">
        <v>3443</v>
      </c>
      <c r="H549" s="19">
        <v>2213</v>
      </c>
      <c r="I549" s="101"/>
      <c r="J549" s="17">
        <v>21.012</v>
      </c>
      <c r="K549" s="17">
        <v>6</v>
      </c>
      <c r="L549" s="18">
        <v>3.5019999999999998</v>
      </c>
      <c r="M549" s="19">
        <v>3502</v>
      </c>
      <c r="N549" s="22" t="s">
        <v>842</v>
      </c>
      <c r="O549" s="23">
        <v>3502</v>
      </c>
      <c r="P549" s="24"/>
    </row>
    <row r="550" spans="1:16" s="5" customFormat="1" ht="11.25" customHeight="1">
      <c r="A550" s="70" t="s">
        <v>128</v>
      </c>
      <c r="B550" s="70" t="s">
        <v>843</v>
      </c>
      <c r="C550" s="58">
        <v>640</v>
      </c>
      <c r="D550" s="58">
        <v>630</v>
      </c>
      <c r="E550" s="58">
        <v>510</v>
      </c>
      <c r="F550" s="58">
        <v>124</v>
      </c>
      <c r="G550" s="58">
        <v>616</v>
      </c>
      <c r="H550" s="58">
        <v>321</v>
      </c>
      <c r="I550" s="109"/>
      <c r="J550" s="56">
        <v>3.84</v>
      </c>
      <c r="K550" s="56">
        <v>6</v>
      </c>
      <c r="L550" s="57">
        <v>0.64</v>
      </c>
      <c r="M550" s="58">
        <v>640</v>
      </c>
      <c r="N550" s="59" t="s">
        <v>844</v>
      </c>
      <c r="O550" s="43">
        <v>640</v>
      </c>
      <c r="P550" s="42"/>
    </row>
    <row r="551" spans="1:16" s="5" customFormat="1" ht="11.25" customHeight="1">
      <c r="A551" s="64" t="s">
        <v>128</v>
      </c>
      <c r="B551" s="64" t="s">
        <v>880</v>
      </c>
      <c r="C551" s="19">
        <v>359</v>
      </c>
      <c r="D551" s="19">
        <v>355</v>
      </c>
      <c r="E551" s="19">
        <v>286</v>
      </c>
      <c r="F551" s="19">
        <v>67</v>
      </c>
      <c r="G551" s="19">
        <v>353</v>
      </c>
      <c r="H551" s="19">
        <v>170</v>
      </c>
      <c r="I551" s="101"/>
      <c r="J551" s="17">
        <v>2.1539999999999999</v>
      </c>
      <c r="K551" s="17">
        <v>6</v>
      </c>
      <c r="L551" s="18">
        <v>0.35899999999999999</v>
      </c>
      <c r="M551" s="19">
        <v>359</v>
      </c>
      <c r="N551" s="22" t="s">
        <v>881</v>
      </c>
      <c r="O551" s="23">
        <v>359</v>
      </c>
      <c r="P551" s="24"/>
    </row>
    <row r="552" spans="1:16" s="5" customFormat="1" ht="11.25" customHeight="1">
      <c r="A552" s="64" t="s">
        <v>128</v>
      </c>
      <c r="B552" s="64" t="s">
        <v>916</v>
      </c>
      <c r="C552" s="19">
        <v>939</v>
      </c>
      <c r="D552" s="19">
        <v>920</v>
      </c>
      <c r="E552" s="19">
        <v>765</v>
      </c>
      <c r="F552" s="19">
        <v>190</v>
      </c>
      <c r="G552" s="19">
        <v>915</v>
      </c>
      <c r="H552" s="19">
        <v>493</v>
      </c>
      <c r="I552" s="101"/>
      <c r="J552" s="17">
        <v>5.6340000000000003</v>
      </c>
      <c r="K552" s="17">
        <v>6</v>
      </c>
      <c r="L552" s="18">
        <v>0.93899999999999995</v>
      </c>
      <c r="M552" s="19">
        <v>939</v>
      </c>
      <c r="N552" s="22" t="s">
        <v>917</v>
      </c>
      <c r="O552" s="23">
        <v>939</v>
      </c>
      <c r="P552" s="24"/>
    </row>
    <row r="553" spans="1:16" s="5" customFormat="1" ht="12">
      <c r="A553" s="64" t="s">
        <v>128</v>
      </c>
      <c r="B553" s="64" t="s">
        <v>930</v>
      </c>
      <c r="C553" s="19">
        <v>555</v>
      </c>
      <c r="D553" s="19">
        <v>549</v>
      </c>
      <c r="E553" s="19">
        <v>465</v>
      </c>
      <c r="F553" s="19">
        <v>120</v>
      </c>
      <c r="G553" s="19">
        <v>548</v>
      </c>
      <c r="H553" s="19">
        <v>324</v>
      </c>
      <c r="I553" s="101"/>
      <c r="J553" s="17">
        <v>3.33</v>
      </c>
      <c r="K553" s="17">
        <v>6</v>
      </c>
      <c r="L553" s="18">
        <v>0.55500000000000005</v>
      </c>
      <c r="M553" s="19">
        <v>555</v>
      </c>
      <c r="N553" s="22" t="s">
        <v>931</v>
      </c>
      <c r="O553" s="23">
        <v>555</v>
      </c>
      <c r="P553" s="24"/>
    </row>
    <row r="554" spans="1:16" s="5" customFormat="1" ht="12">
      <c r="A554" s="64" t="s">
        <v>128</v>
      </c>
      <c r="B554" s="64" t="s">
        <v>974</v>
      </c>
      <c r="C554" s="19">
        <v>531</v>
      </c>
      <c r="D554" s="19">
        <v>527</v>
      </c>
      <c r="E554" s="19">
        <v>465</v>
      </c>
      <c r="F554" s="19">
        <v>170</v>
      </c>
      <c r="G554" s="19">
        <v>524</v>
      </c>
      <c r="H554" s="19">
        <v>390</v>
      </c>
      <c r="I554" s="101"/>
      <c r="J554" s="17">
        <v>3.1859999999999999</v>
      </c>
      <c r="K554" s="17">
        <v>6</v>
      </c>
      <c r="L554" s="18">
        <v>0.53100000000000003</v>
      </c>
      <c r="M554" s="19">
        <v>531</v>
      </c>
      <c r="N554" s="22" t="s">
        <v>975</v>
      </c>
      <c r="O554" s="23">
        <v>531</v>
      </c>
      <c r="P554" s="24"/>
    </row>
    <row r="555" spans="1:16" s="5" customFormat="1" ht="12">
      <c r="A555" s="64" t="s">
        <v>128</v>
      </c>
      <c r="B555" s="64" t="s">
        <v>990</v>
      </c>
      <c r="C555" s="19">
        <v>397</v>
      </c>
      <c r="D555" s="19">
        <v>384</v>
      </c>
      <c r="E555" s="19">
        <v>333</v>
      </c>
      <c r="F555" s="19">
        <v>86</v>
      </c>
      <c r="G555" s="19">
        <v>393</v>
      </c>
      <c r="H555" s="19">
        <v>247</v>
      </c>
      <c r="I555" s="101"/>
      <c r="J555" s="17">
        <v>2.3820000000000001</v>
      </c>
      <c r="K555" s="17">
        <v>6</v>
      </c>
      <c r="L555" s="18">
        <v>0.39700000000000002</v>
      </c>
      <c r="M555" s="19">
        <v>397</v>
      </c>
      <c r="N555" s="22" t="s">
        <v>991</v>
      </c>
      <c r="O555" s="23">
        <v>397</v>
      </c>
      <c r="P555" s="24"/>
    </row>
    <row r="556" spans="1:16" s="5" customFormat="1" ht="12">
      <c r="A556" s="64" t="s">
        <v>128</v>
      </c>
      <c r="B556" s="64" t="s">
        <v>992</v>
      </c>
      <c r="C556" s="19">
        <v>300</v>
      </c>
      <c r="D556" s="19">
        <v>287</v>
      </c>
      <c r="E556" s="19">
        <v>241</v>
      </c>
      <c r="F556" s="19">
        <v>45</v>
      </c>
      <c r="G556" s="19">
        <v>296</v>
      </c>
      <c r="H556" s="19">
        <v>154</v>
      </c>
      <c r="I556" s="101"/>
      <c r="J556" s="17">
        <v>1.8</v>
      </c>
      <c r="K556" s="17">
        <v>6</v>
      </c>
      <c r="L556" s="18">
        <v>0.3</v>
      </c>
      <c r="M556" s="19">
        <v>300</v>
      </c>
      <c r="N556" s="22" t="s">
        <v>993</v>
      </c>
      <c r="O556" s="23">
        <v>300</v>
      </c>
      <c r="P556" s="24"/>
    </row>
    <row r="557" spans="1:16" s="5" customFormat="1" ht="12">
      <c r="A557" s="64" t="s">
        <v>128</v>
      </c>
      <c r="B557" s="64" t="s">
        <v>1002</v>
      </c>
      <c r="C557" s="19">
        <v>649</v>
      </c>
      <c r="D557" s="19">
        <v>632</v>
      </c>
      <c r="E557" s="19">
        <v>569</v>
      </c>
      <c r="F557" s="19">
        <v>190</v>
      </c>
      <c r="G557" s="19">
        <v>643</v>
      </c>
      <c r="H557" s="19">
        <v>409</v>
      </c>
      <c r="I557" s="101"/>
      <c r="J557" s="17">
        <v>3.8940000000000001</v>
      </c>
      <c r="K557" s="17">
        <v>6</v>
      </c>
      <c r="L557" s="18">
        <v>0.64900000000000002</v>
      </c>
      <c r="M557" s="19">
        <v>649</v>
      </c>
      <c r="N557" s="22" t="s">
        <v>1003</v>
      </c>
      <c r="O557" s="23">
        <v>649</v>
      </c>
      <c r="P557" s="24"/>
    </row>
    <row r="558" spans="1:16" s="1" customFormat="1" ht="12">
      <c r="A558" s="64" t="s">
        <v>128</v>
      </c>
      <c r="B558" s="64" t="s">
        <v>1030</v>
      </c>
      <c r="C558" s="19">
        <v>458</v>
      </c>
      <c r="D558" s="19">
        <v>445</v>
      </c>
      <c r="E558" s="19">
        <v>372</v>
      </c>
      <c r="F558" s="19">
        <v>73</v>
      </c>
      <c r="G558" s="19">
        <v>451</v>
      </c>
      <c r="H558" s="19">
        <v>231</v>
      </c>
      <c r="I558" s="101"/>
      <c r="J558" s="17">
        <v>2.7480000000000002</v>
      </c>
      <c r="K558" s="17">
        <v>6</v>
      </c>
      <c r="L558" s="18">
        <v>0.45800000000000002</v>
      </c>
      <c r="M558" s="19">
        <v>458</v>
      </c>
      <c r="N558" s="22" t="s">
        <v>1031</v>
      </c>
      <c r="O558" s="23">
        <v>458</v>
      </c>
      <c r="P558" s="24"/>
    </row>
    <row r="559" spans="1:16" s="5" customFormat="1" ht="12">
      <c r="A559" s="64" t="s">
        <v>128</v>
      </c>
      <c r="B559" s="64" t="s">
        <v>1041</v>
      </c>
      <c r="C559" s="19">
        <v>342</v>
      </c>
      <c r="D559" s="19">
        <v>326</v>
      </c>
      <c r="E559" s="19">
        <v>266</v>
      </c>
      <c r="F559" s="19">
        <v>53</v>
      </c>
      <c r="G559" s="19">
        <v>340</v>
      </c>
      <c r="H559" s="19">
        <v>155</v>
      </c>
      <c r="I559" s="101"/>
      <c r="J559" s="17">
        <v>2.052</v>
      </c>
      <c r="K559" s="17">
        <v>6</v>
      </c>
      <c r="L559" s="18">
        <v>0.34200000000000003</v>
      </c>
      <c r="M559" s="19">
        <v>342</v>
      </c>
      <c r="N559" s="22" t="s">
        <v>1042</v>
      </c>
      <c r="O559" s="23">
        <v>342</v>
      </c>
      <c r="P559" s="24"/>
    </row>
    <row r="560" spans="1:16" s="5" customFormat="1" ht="12">
      <c r="A560" s="64" t="s">
        <v>128</v>
      </c>
      <c r="B560" s="64" t="s">
        <v>1101</v>
      </c>
      <c r="C560" s="19">
        <v>541</v>
      </c>
      <c r="D560" s="19">
        <v>531</v>
      </c>
      <c r="E560" s="19">
        <v>439</v>
      </c>
      <c r="F560" s="19">
        <v>104</v>
      </c>
      <c r="G560" s="19">
        <v>533</v>
      </c>
      <c r="H560" s="19">
        <v>294</v>
      </c>
      <c r="I560" s="101"/>
      <c r="J560" s="17">
        <v>3.246</v>
      </c>
      <c r="K560" s="17">
        <v>6</v>
      </c>
      <c r="L560" s="18">
        <v>0.54100000000000004</v>
      </c>
      <c r="M560" s="19">
        <v>541</v>
      </c>
      <c r="N560" s="22" t="s">
        <v>1102</v>
      </c>
      <c r="O560" s="23">
        <v>541</v>
      </c>
      <c r="P560" s="24"/>
    </row>
    <row r="561" spans="1:16" s="1" customFormat="1" ht="12">
      <c r="A561" s="64" t="s">
        <v>128</v>
      </c>
      <c r="B561" s="64" t="s">
        <v>1144</v>
      </c>
      <c r="C561" s="19">
        <v>477</v>
      </c>
      <c r="D561" s="19">
        <v>462</v>
      </c>
      <c r="E561" s="19">
        <v>365</v>
      </c>
      <c r="F561" s="19">
        <v>97</v>
      </c>
      <c r="G561" s="19">
        <v>467</v>
      </c>
      <c r="H561" s="19">
        <v>286</v>
      </c>
      <c r="I561" s="101"/>
      <c r="J561" s="17">
        <v>2.8620000000000001</v>
      </c>
      <c r="K561" s="17">
        <v>6</v>
      </c>
      <c r="L561" s="18">
        <v>0.47699999999999998</v>
      </c>
      <c r="M561" s="19">
        <v>477</v>
      </c>
      <c r="N561" s="22" t="s">
        <v>1145</v>
      </c>
      <c r="O561" s="23">
        <v>477</v>
      </c>
      <c r="P561" s="24"/>
    </row>
    <row r="562" spans="1:16" s="5" customFormat="1" ht="12">
      <c r="A562" s="64" t="s">
        <v>128</v>
      </c>
      <c r="B562" s="64" t="s">
        <v>1162</v>
      </c>
      <c r="C562" s="19">
        <v>440</v>
      </c>
      <c r="D562" s="19">
        <v>436</v>
      </c>
      <c r="E562" s="19">
        <v>343</v>
      </c>
      <c r="F562" s="19">
        <v>71</v>
      </c>
      <c r="G562" s="19">
        <v>431</v>
      </c>
      <c r="H562" s="19">
        <v>219</v>
      </c>
      <c r="I562" s="101"/>
      <c r="J562" s="17">
        <v>2.64</v>
      </c>
      <c r="K562" s="17">
        <v>6</v>
      </c>
      <c r="L562" s="18">
        <v>0.44</v>
      </c>
      <c r="M562" s="19">
        <v>440</v>
      </c>
      <c r="N562" s="22" t="s">
        <v>1163</v>
      </c>
      <c r="O562" s="23">
        <v>440</v>
      </c>
      <c r="P562" s="24"/>
    </row>
    <row r="563" spans="1:16" s="5" customFormat="1" ht="12">
      <c r="A563" s="64" t="s">
        <v>128</v>
      </c>
      <c r="B563" s="64" t="s">
        <v>1187</v>
      </c>
      <c r="C563" s="19">
        <v>660</v>
      </c>
      <c r="D563" s="19">
        <v>644</v>
      </c>
      <c r="E563" s="19">
        <v>515</v>
      </c>
      <c r="F563" s="19">
        <v>94</v>
      </c>
      <c r="G563" s="19">
        <v>639</v>
      </c>
      <c r="H563" s="19">
        <v>312</v>
      </c>
      <c r="I563" s="101"/>
      <c r="J563" s="17">
        <v>3.96</v>
      </c>
      <c r="K563" s="17">
        <v>6</v>
      </c>
      <c r="L563" s="18">
        <v>0.66</v>
      </c>
      <c r="M563" s="19">
        <v>660</v>
      </c>
      <c r="N563" s="22" t="s">
        <v>1188</v>
      </c>
      <c r="O563" s="23">
        <v>660</v>
      </c>
      <c r="P563" s="24"/>
    </row>
    <row r="564" spans="1:16" s="1" customFormat="1" ht="12">
      <c r="A564" s="64" t="s">
        <v>128</v>
      </c>
      <c r="B564" s="64" t="s">
        <v>1200</v>
      </c>
      <c r="C564" s="19">
        <v>1211</v>
      </c>
      <c r="D564" s="19">
        <v>1187</v>
      </c>
      <c r="E564" s="19">
        <v>1027</v>
      </c>
      <c r="F564" s="19">
        <v>270</v>
      </c>
      <c r="G564" s="19">
        <v>1182</v>
      </c>
      <c r="H564" s="19">
        <v>665</v>
      </c>
      <c r="I564" s="101"/>
      <c r="J564" s="17">
        <v>7.266</v>
      </c>
      <c r="K564" s="17">
        <v>6</v>
      </c>
      <c r="L564" s="18">
        <v>1.2110000000000001</v>
      </c>
      <c r="M564" s="19">
        <v>1211</v>
      </c>
      <c r="N564" s="22" t="s">
        <v>1201</v>
      </c>
      <c r="O564" s="23">
        <v>1211</v>
      </c>
      <c r="P564" s="24"/>
    </row>
    <row r="565" spans="1:16" s="5" customFormat="1" ht="12">
      <c r="A565" s="64" t="s">
        <v>128</v>
      </c>
      <c r="B565" s="64" t="s">
        <v>1264</v>
      </c>
      <c r="C565" s="19">
        <v>1462</v>
      </c>
      <c r="D565" s="19">
        <v>1425</v>
      </c>
      <c r="E565" s="19">
        <v>1254</v>
      </c>
      <c r="F565" s="19">
        <v>304</v>
      </c>
      <c r="G565" s="19">
        <v>1437</v>
      </c>
      <c r="H565" s="19">
        <v>815</v>
      </c>
      <c r="I565" s="101"/>
      <c r="J565" s="17">
        <v>8.7720000000000002</v>
      </c>
      <c r="K565" s="17">
        <v>6</v>
      </c>
      <c r="L565" s="18">
        <v>1.462</v>
      </c>
      <c r="M565" s="19">
        <v>1462</v>
      </c>
      <c r="N565" s="22" t="s">
        <v>1265</v>
      </c>
      <c r="O565" s="23">
        <v>1462</v>
      </c>
      <c r="P565" s="24"/>
    </row>
    <row r="566" spans="1:16" s="5" customFormat="1" ht="12">
      <c r="A566" s="64" t="s">
        <v>128</v>
      </c>
      <c r="B566" s="64" t="s">
        <v>1277</v>
      </c>
      <c r="C566" s="19">
        <v>2332</v>
      </c>
      <c r="D566" s="19">
        <v>2301</v>
      </c>
      <c r="E566" s="19">
        <v>2068</v>
      </c>
      <c r="F566" s="19">
        <v>743</v>
      </c>
      <c r="G566" s="19">
        <v>2303</v>
      </c>
      <c r="H566" s="19">
        <v>1582</v>
      </c>
      <c r="I566" s="101"/>
      <c r="J566" s="17">
        <v>13.992000000000001</v>
      </c>
      <c r="K566" s="17">
        <v>6</v>
      </c>
      <c r="L566" s="18">
        <v>2.3319999999999999</v>
      </c>
      <c r="M566" s="19">
        <v>2332</v>
      </c>
      <c r="N566" s="22" t="s">
        <v>1278</v>
      </c>
      <c r="O566" s="23">
        <v>2332</v>
      </c>
      <c r="P566" s="24"/>
    </row>
    <row r="567" spans="1:16" s="5" customFormat="1" ht="12">
      <c r="A567" s="64" t="s">
        <v>128</v>
      </c>
      <c r="B567" s="64" t="s">
        <v>1301</v>
      </c>
      <c r="C567" s="19">
        <v>879</v>
      </c>
      <c r="D567" s="19">
        <v>860</v>
      </c>
      <c r="E567" s="19">
        <v>688</v>
      </c>
      <c r="F567" s="19">
        <v>182</v>
      </c>
      <c r="G567" s="19">
        <v>870</v>
      </c>
      <c r="H567" s="19">
        <v>502</v>
      </c>
      <c r="I567" s="101"/>
      <c r="J567" s="17">
        <v>5.274</v>
      </c>
      <c r="K567" s="17">
        <v>6</v>
      </c>
      <c r="L567" s="18">
        <v>0.879</v>
      </c>
      <c r="M567" s="19">
        <v>879</v>
      </c>
      <c r="N567" s="22" t="s">
        <v>1302</v>
      </c>
      <c r="O567" s="23">
        <v>879</v>
      </c>
      <c r="P567" s="24"/>
    </row>
    <row r="568" spans="1:16" s="5" customFormat="1" ht="12">
      <c r="A568" s="64" t="s">
        <v>128</v>
      </c>
      <c r="B568" s="64" t="s">
        <v>1363</v>
      </c>
      <c r="C568" s="19">
        <v>303</v>
      </c>
      <c r="D568" s="19">
        <v>290</v>
      </c>
      <c r="E568" s="19">
        <v>213</v>
      </c>
      <c r="F568" s="19">
        <v>55</v>
      </c>
      <c r="G568" s="19">
        <v>294</v>
      </c>
      <c r="H568" s="19">
        <v>102</v>
      </c>
      <c r="I568" s="101"/>
      <c r="J568" s="17">
        <v>1.8180000000000001</v>
      </c>
      <c r="K568" s="17">
        <v>6</v>
      </c>
      <c r="L568" s="18">
        <v>0.30299999999999999</v>
      </c>
      <c r="M568" s="19">
        <v>303</v>
      </c>
      <c r="N568" s="22" t="s">
        <v>1364</v>
      </c>
      <c r="O568" s="23">
        <v>303</v>
      </c>
      <c r="P568" s="24"/>
    </row>
    <row r="569" spans="1:16" s="5" customFormat="1" ht="12">
      <c r="A569" s="64" t="s">
        <v>128</v>
      </c>
      <c r="B569" s="64" t="s">
        <v>1367</v>
      </c>
      <c r="C569" s="19">
        <v>898</v>
      </c>
      <c r="D569" s="19">
        <v>881</v>
      </c>
      <c r="E569" s="19">
        <v>804</v>
      </c>
      <c r="F569" s="19">
        <v>257</v>
      </c>
      <c r="G569" s="19">
        <v>891</v>
      </c>
      <c r="H569" s="19">
        <v>575</v>
      </c>
      <c r="I569" s="101"/>
      <c r="J569" s="17">
        <v>5.3879999999999999</v>
      </c>
      <c r="K569" s="17">
        <v>6</v>
      </c>
      <c r="L569" s="18">
        <v>0.89800000000000002</v>
      </c>
      <c r="M569" s="19">
        <v>898</v>
      </c>
      <c r="N569" s="22" t="s">
        <v>1368</v>
      </c>
      <c r="O569" s="23">
        <v>898</v>
      </c>
      <c r="P569" s="24"/>
    </row>
    <row r="570" spans="1:16" s="5" customFormat="1" ht="12">
      <c r="A570" s="64" t="s">
        <v>128</v>
      </c>
      <c r="B570" s="64" t="s">
        <v>1391</v>
      </c>
      <c r="C570" s="19">
        <v>1157</v>
      </c>
      <c r="D570" s="19">
        <v>1136</v>
      </c>
      <c r="E570" s="19">
        <v>966</v>
      </c>
      <c r="F570" s="19">
        <v>208</v>
      </c>
      <c r="G570" s="19">
        <v>1153</v>
      </c>
      <c r="H570" s="19">
        <v>669</v>
      </c>
      <c r="I570" s="101"/>
      <c r="J570" s="17">
        <v>6.9420000000000002</v>
      </c>
      <c r="K570" s="17">
        <v>6</v>
      </c>
      <c r="L570" s="18">
        <v>1.157</v>
      </c>
      <c r="M570" s="19">
        <v>1157</v>
      </c>
      <c r="N570" s="22" t="s">
        <v>1392</v>
      </c>
      <c r="O570" s="23">
        <v>1157</v>
      </c>
      <c r="P570" s="24"/>
    </row>
    <row r="571" spans="1:16" s="5" customFormat="1" ht="12">
      <c r="A571" s="64" t="s">
        <v>128</v>
      </c>
      <c r="B571" s="64" t="s">
        <v>1442</v>
      </c>
      <c r="C571" s="19">
        <v>353</v>
      </c>
      <c r="D571" s="19">
        <v>348</v>
      </c>
      <c r="E571" s="19">
        <v>307</v>
      </c>
      <c r="F571" s="19">
        <v>73</v>
      </c>
      <c r="G571" s="19">
        <v>353</v>
      </c>
      <c r="H571" s="19">
        <v>205</v>
      </c>
      <c r="I571" s="101"/>
      <c r="J571" s="17">
        <v>2.1179999999999999</v>
      </c>
      <c r="K571" s="17">
        <v>6</v>
      </c>
      <c r="L571" s="18">
        <v>0.35299999999999998</v>
      </c>
      <c r="M571" s="19">
        <v>353</v>
      </c>
      <c r="N571" s="22" t="s">
        <v>1443</v>
      </c>
      <c r="O571" s="23">
        <v>353</v>
      </c>
      <c r="P571" s="24"/>
    </row>
    <row r="572" spans="1:16" s="5" customFormat="1" ht="12">
      <c r="A572" s="64" t="s">
        <v>128</v>
      </c>
      <c r="B572" s="64" t="s">
        <v>1462</v>
      </c>
      <c r="C572" s="19">
        <v>915</v>
      </c>
      <c r="D572" s="19">
        <v>892</v>
      </c>
      <c r="E572" s="19">
        <v>732</v>
      </c>
      <c r="F572" s="19">
        <v>199</v>
      </c>
      <c r="G572" s="19">
        <v>901</v>
      </c>
      <c r="H572" s="19">
        <v>477</v>
      </c>
      <c r="I572" s="101"/>
      <c r="J572" s="17">
        <v>5.49</v>
      </c>
      <c r="K572" s="17">
        <v>6</v>
      </c>
      <c r="L572" s="18">
        <v>0.91500000000000004</v>
      </c>
      <c r="M572" s="19">
        <v>915</v>
      </c>
      <c r="N572" s="22" t="s">
        <v>1463</v>
      </c>
      <c r="O572" s="23">
        <v>915</v>
      </c>
      <c r="P572" s="24"/>
    </row>
    <row r="573" spans="1:16" s="5" customFormat="1" ht="12">
      <c r="A573" s="64" t="s">
        <v>128</v>
      </c>
      <c r="B573" s="64" t="s">
        <v>1483</v>
      </c>
      <c r="C573" s="19">
        <v>347</v>
      </c>
      <c r="D573" s="19">
        <v>342</v>
      </c>
      <c r="E573" s="19">
        <v>296</v>
      </c>
      <c r="F573" s="19">
        <v>59</v>
      </c>
      <c r="G573" s="19">
        <v>341</v>
      </c>
      <c r="H573" s="19">
        <v>185</v>
      </c>
      <c r="I573" s="101"/>
      <c r="J573" s="17">
        <v>2.0819999999999999</v>
      </c>
      <c r="K573" s="17">
        <v>6</v>
      </c>
      <c r="L573" s="18">
        <v>0.34699999999999998</v>
      </c>
      <c r="M573" s="19">
        <v>347</v>
      </c>
      <c r="N573" s="22" t="s">
        <v>1484</v>
      </c>
      <c r="O573" s="23">
        <v>347</v>
      </c>
      <c r="P573" s="24"/>
    </row>
    <row r="574" spans="1:16" s="5" customFormat="1" ht="12">
      <c r="A574" s="64" t="s">
        <v>128</v>
      </c>
      <c r="B574" s="64" t="s">
        <v>1505</v>
      </c>
      <c r="C574" s="19">
        <v>669</v>
      </c>
      <c r="D574" s="19">
        <v>658</v>
      </c>
      <c r="E574" s="19">
        <v>599</v>
      </c>
      <c r="F574" s="19">
        <v>131</v>
      </c>
      <c r="G574" s="19">
        <v>668</v>
      </c>
      <c r="H574" s="19">
        <v>359</v>
      </c>
      <c r="I574" s="101"/>
      <c r="J574" s="17">
        <v>4.0140000000000002</v>
      </c>
      <c r="K574" s="17">
        <v>6</v>
      </c>
      <c r="L574" s="18">
        <v>0.66900000000000004</v>
      </c>
      <c r="M574" s="19">
        <v>669</v>
      </c>
      <c r="N574" s="22" t="s">
        <v>1506</v>
      </c>
      <c r="O574" s="23">
        <v>669</v>
      </c>
      <c r="P574" s="24"/>
    </row>
    <row r="575" spans="1:16" s="5" customFormat="1" ht="12">
      <c r="A575" s="64" t="s">
        <v>128</v>
      </c>
      <c r="B575" s="64" t="s">
        <v>1624</v>
      </c>
      <c r="C575" s="19">
        <v>395</v>
      </c>
      <c r="D575" s="19">
        <v>387</v>
      </c>
      <c r="E575" s="19">
        <v>335</v>
      </c>
      <c r="F575" s="19">
        <v>85</v>
      </c>
      <c r="G575" s="19">
        <v>391</v>
      </c>
      <c r="H575" s="19">
        <v>227</v>
      </c>
      <c r="I575" s="101"/>
      <c r="J575" s="17">
        <v>2.37</v>
      </c>
      <c r="K575" s="17">
        <v>6</v>
      </c>
      <c r="L575" s="18">
        <v>0.39500000000000002</v>
      </c>
      <c r="M575" s="19">
        <v>395</v>
      </c>
      <c r="N575" s="22" t="s">
        <v>1625</v>
      </c>
      <c r="O575" s="23">
        <v>395</v>
      </c>
      <c r="P575" s="24"/>
    </row>
    <row r="576" spans="1:16" s="5" customFormat="1" ht="12">
      <c r="A576" s="64" t="s">
        <v>128</v>
      </c>
      <c r="B576" s="64" t="s">
        <v>1641</v>
      </c>
      <c r="C576" s="19">
        <v>809</v>
      </c>
      <c r="D576" s="19">
        <v>787</v>
      </c>
      <c r="E576" s="19">
        <v>657</v>
      </c>
      <c r="F576" s="19">
        <v>160</v>
      </c>
      <c r="G576" s="19">
        <v>797</v>
      </c>
      <c r="H576" s="19">
        <v>466</v>
      </c>
      <c r="I576" s="101"/>
      <c r="J576" s="17">
        <v>4.8540000000000001</v>
      </c>
      <c r="K576" s="17">
        <v>6</v>
      </c>
      <c r="L576" s="18">
        <v>0.80900000000000005</v>
      </c>
      <c r="M576" s="19">
        <v>809</v>
      </c>
      <c r="N576" s="22" t="s">
        <v>1642</v>
      </c>
      <c r="O576" s="23">
        <v>809</v>
      </c>
      <c r="P576" s="24"/>
    </row>
    <row r="577" spans="1:16" s="5" customFormat="1" ht="12">
      <c r="A577" s="64" t="s">
        <v>128</v>
      </c>
      <c r="B577" s="64" t="s">
        <v>1659</v>
      </c>
      <c r="C577" s="19">
        <v>646</v>
      </c>
      <c r="D577" s="19">
        <v>635</v>
      </c>
      <c r="E577" s="19">
        <v>544</v>
      </c>
      <c r="F577" s="19">
        <v>148</v>
      </c>
      <c r="G577" s="19">
        <v>645</v>
      </c>
      <c r="H577" s="19">
        <v>351</v>
      </c>
      <c r="I577" s="101"/>
      <c r="J577" s="17">
        <v>3.8759999999999999</v>
      </c>
      <c r="K577" s="17">
        <v>6</v>
      </c>
      <c r="L577" s="18">
        <v>0.64600000000000002</v>
      </c>
      <c r="M577" s="19">
        <v>646</v>
      </c>
      <c r="N577" s="22" t="s">
        <v>1660</v>
      </c>
      <c r="O577" s="23">
        <v>646</v>
      </c>
      <c r="P577" s="24"/>
    </row>
    <row r="578" spans="1:16" s="5" customFormat="1" ht="12">
      <c r="A578" s="64" t="s">
        <v>128</v>
      </c>
      <c r="B578" s="64" t="s">
        <v>1716</v>
      </c>
      <c r="C578" s="19">
        <v>364</v>
      </c>
      <c r="D578" s="19">
        <v>356</v>
      </c>
      <c r="E578" s="19">
        <v>301</v>
      </c>
      <c r="F578" s="19">
        <v>83</v>
      </c>
      <c r="G578" s="19">
        <v>362</v>
      </c>
      <c r="H578" s="19">
        <v>189</v>
      </c>
      <c r="I578" s="101"/>
      <c r="J578" s="17">
        <v>2.1840000000000002</v>
      </c>
      <c r="K578" s="17">
        <v>6</v>
      </c>
      <c r="L578" s="18">
        <v>0.36399999999999999</v>
      </c>
      <c r="M578" s="19">
        <v>364</v>
      </c>
      <c r="N578" s="22" t="s">
        <v>1717</v>
      </c>
      <c r="O578" s="23">
        <v>364</v>
      </c>
      <c r="P578" s="24"/>
    </row>
    <row r="579" spans="1:16" s="5" customFormat="1" ht="12">
      <c r="A579" s="64" t="s">
        <v>128</v>
      </c>
      <c r="B579" s="64" t="s">
        <v>128</v>
      </c>
      <c r="C579" s="19">
        <v>18315</v>
      </c>
      <c r="D579" s="19">
        <v>18115</v>
      </c>
      <c r="E579" s="19">
        <v>16272</v>
      </c>
      <c r="F579" s="19">
        <v>5873</v>
      </c>
      <c r="G579" s="19">
        <v>18165</v>
      </c>
      <c r="H579" s="19">
        <v>13150</v>
      </c>
      <c r="I579" s="101"/>
      <c r="J579" s="17">
        <v>73.260000000000005</v>
      </c>
      <c r="K579" s="17">
        <v>4</v>
      </c>
      <c r="L579" s="18">
        <v>18.315000000000001</v>
      </c>
      <c r="M579" s="19">
        <v>18315</v>
      </c>
      <c r="N579" s="22" t="s">
        <v>1740</v>
      </c>
      <c r="O579" s="23">
        <v>18315</v>
      </c>
      <c r="P579" s="24"/>
    </row>
    <row r="580" spans="1:16" s="5" customFormat="1" ht="12">
      <c r="A580" s="64" t="s">
        <v>128</v>
      </c>
      <c r="B580" s="64" t="s">
        <v>1779</v>
      </c>
      <c r="C580" s="19">
        <v>1397</v>
      </c>
      <c r="D580" s="19">
        <v>1380</v>
      </c>
      <c r="E580" s="19">
        <v>1211</v>
      </c>
      <c r="F580" s="19">
        <v>450</v>
      </c>
      <c r="G580" s="19">
        <v>1388</v>
      </c>
      <c r="H580" s="19">
        <v>961</v>
      </c>
      <c r="I580" s="101"/>
      <c r="J580" s="17">
        <v>8.3819999999999997</v>
      </c>
      <c r="K580" s="17">
        <v>6</v>
      </c>
      <c r="L580" s="18">
        <v>1.397</v>
      </c>
      <c r="M580" s="19">
        <v>1397</v>
      </c>
      <c r="N580" s="22" t="s">
        <v>1780</v>
      </c>
      <c r="O580" s="23">
        <v>1397</v>
      </c>
      <c r="P580" s="24"/>
    </row>
    <row r="581" spans="1:16" s="5" customFormat="1" ht="12">
      <c r="A581" s="64" t="s">
        <v>128</v>
      </c>
      <c r="B581" s="64" t="s">
        <v>1830</v>
      </c>
      <c r="C581" s="19">
        <v>327</v>
      </c>
      <c r="D581" s="19">
        <v>323</v>
      </c>
      <c r="E581" s="19">
        <v>263</v>
      </c>
      <c r="F581" s="19">
        <v>71</v>
      </c>
      <c r="G581" s="19">
        <v>325</v>
      </c>
      <c r="H581" s="19">
        <v>172</v>
      </c>
      <c r="I581" s="101"/>
      <c r="J581" s="17">
        <v>1.962</v>
      </c>
      <c r="K581" s="17">
        <v>6</v>
      </c>
      <c r="L581" s="18">
        <v>0.32700000000000001</v>
      </c>
      <c r="M581" s="19">
        <v>327</v>
      </c>
      <c r="N581" s="22" t="s">
        <v>1831</v>
      </c>
      <c r="O581" s="23">
        <v>327</v>
      </c>
      <c r="P581" s="24"/>
    </row>
    <row r="582" spans="1:16" s="5" customFormat="1" ht="12">
      <c r="A582" s="64" t="s">
        <v>128</v>
      </c>
      <c r="B582" s="64" t="s">
        <v>1845</v>
      </c>
      <c r="C582" s="19">
        <v>435</v>
      </c>
      <c r="D582" s="19">
        <v>426</v>
      </c>
      <c r="E582" s="19">
        <v>381</v>
      </c>
      <c r="F582" s="19">
        <v>123</v>
      </c>
      <c r="G582" s="19">
        <v>432</v>
      </c>
      <c r="H582" s="19">
        <v>265</v>
      </c>
      <c r="I582" s="101"/>
      <c r="J582" s="17">
        <v>2.61</v>
      </c>
      <c r="K582" s="17">
        <v>6</v>
      </c>
      <c r="L582" s="18">
        <v>0.435</v>
      </c>
      <c r="M582" s="19">
        <v>435</v>
      </c>
      <c r="N582" s="22" t="s">
        <v>1846</v>
      </c>
      <c r="O582" s="23">
        <v>435</v>
      </c>
      <c r="P582" s="24"/>
    </row>
    <row r="583" spans="1:16" s="5" customFormat="1">
      <c r="A583" s="67" t="s">
        <v>221</v>
      </c>
      <c r="B583" s="67" t="s">
        <v>222</v>
      </c>
      <c r="C583" s="108">
        <v>495</v>
      </c>
      <c r="D583" s="108">
        <v>477</v>
      </c>
      <c r="E583" s="108">
        <v>411</v>
      </c>
      <c r="F583" s="108">
        <v>106</v>
      </c>
      <c r="G583" s="108">
        <v>491</v>
      </c>
      <c r="H583" s="108">
        <v>262</v>
      </c>
      <c r="I583" s="92"/>
      <c r="J583" s="51">
        <f t="shared" ref="J583:J614" si="42">+K583*L583</f>
        <v>2.9699999999999998</v>
      </c>
      <c r="K583" s="50">
        <v>6</v>
      </c>
      <c r="L583" s="49">
        <f t="shared" ref="L583:L614" si="43">+M583/1000</f>
        <v>0.495</v>
      </c>
      <c r="M583" s="48">
        <f t="shared" ref="M583:M614" si="44">+C583</f>
        <v>495</v>
      </c>
      <c r="N583" s="52" t="s">
        <v>2015</v>
      </c>
      <c r="O583"/>
      <c r="P583"/>
    </row>
    <row r="584" spans="1:16" s="5" customFormat="1">
      <c r="A584" s="67" t="s">
        <v>221</v>
      </c>
      <c r="B584" s="67" t="s">
        <v>867</v>
      </c>
      <c r="C584" s="108">
        <v>414</v>
      </c>
      <c r="D584" s="108">
        <v>413</v>
      </c>
      <c r="E584" s="108">
        <v>298</v>
      </c>
      <c r="F584" s="108">
        <v>82</v>
      </c>
      <c r="G584" s="108">
        <v>407</v>
      </c>
      <c r="H584" s="108">
        <v>208</v>
      </c>
      <c r="I584" s="92"/>
      <c r="J584" s="51">
        <f t="shared" si="42"/>
        <v>2.484</v>
      </c>
      <c r="K584" s="50">
        <v>6</v>
      </c>
      <c r="L584" s="49">
        <f t="shared" si="43"/>
        <v>0.41399999999999998</v>
      </c>
      <c r="M584" s="48">
        <f t="shared" si="44"/>
        <v>414</v>
      </c>
      <c r="N584" s="52" t="s">
        <v>2014</v>
      </c>
      <c r="O584"/>
      <c r="P584"/>
    </row>
    <row r="585" spans="1:16" s="5" customFormat="1">
      <c r="A585" s="67" t="s">
        <v>221</v>
      </c>
      <c r="B585" s="67" t="s">
        <v>221</v>
      </c>
      <c r="C585" s="108">
        <v>3265</v>
      </c>
      <c r="D585" s="108">
        <v>3199</v>
      </c>
      <c r="E585" s="108">
        <v>2668</v>
      </c>
      <c r="F585" s="108">
        <v>922</v>
      </c>
      <c r="G585" s="108">
        <v>3218</v>
      </c>
      <c r="H585" s="108">
        <v>1986</v>
      </c>
      <c r="I585" s="92"/>
      <c r="J585" s="51">
        <f t="shared" si="42"/>
        <v>19.59</v>
      </c>
      <c r="K585" s="50">
        <v>6</v>
      </c>
      <c r="L585" s="49">
        <f t="shared" si="43"/>
        <v>3.2650000000000001</v>
      </c>
      <c r="M585" s="48">
        <f t="shared" si="44"/>
        <v>3265</v>
      </c>
      <c r="N585" s="47" t="s">
        <v>1752</v>
      </c>
      <c r="O585"/>
      <c r="P585"/>
    </row>
    <row r="586" spans="1:16" s="5" customFormat="1" ht="12">
      <c r="A586" s="40" t="s">
        <v>152</v>
      </c>
      <c r="B586" s="40" t="s">
        <v>265</v>
      </c>
      <c r="C586" s="97">
        <v>1953</v>
      </c>
      <c r="D586" s="97">
        <v>1894</v>
      </c>
      <c r="E586" s="97">
        <v>1602</v>
      </c>
      <c r="F586" s="97">
        <v>474</v>
      </c>
      <c r="G586" s="97">
        <v>1905</v>
      </c>
      <c r="H586" s="97">
        <v>1092</v>
      </c>
      <c r="I586" s="98"/>
      <c r="J586" s="10">
        <f t="shared" si="42"/>
        <v>11.718</v>
      </c>
      <c r="K586" s="11">
        <v>6</v>
      </c>
      <c r="L586" s="12">
        <f t="shared" si="43"/>
        <v>1.9530000000000001</v>
      </c>
      <c r="M586" s="13">
        <f t="shared" si="44"/>
        <v>1953</v>
      </c>
      <c r="N586" s="16" t="s">
        <v>266</v>
      </c>
    </row>
    <row r="587" spans="1:16" s="5" customFormat="1" ht="12">
      <c r="A587" s="40" t="s">
        <v>152</v>
      </c>
      <c r="B587" s="40" t="s">
        <v>596</v>
      </c>
      <c r="C587" s="97">
        <v>1219</v>
      </c>
      <c r="D587" s="97">
        <v>1200</v>
      </c>
      <c r="E587" s="97">
        <v>981</v>
      </c>
      <c r="F587" s="97">
        <v>298</v>
      </c>
      <c r="G587" s="97">
        <v>1205</v>
      </c>
      <c r="H587" s="97">
        <v>703</v>
      </c>
      <c r="I587" s="98"/>
      <c r="J587" s="10">
        <f t="shared" si="42"/>
        <v>7.3140000000000001</v>
      </c>
      <c r="K587" s="11">
        <v>6</v>
      </c>
      <c r="L587" s="12">
        <f t="shared" si="43"/>
        <v>1.2190000000000001</v>
      </c>
      <c r="M587" s="13">
        <f t="shared" si="44"/>
        <v>1219</v>
      </c>
      <c r="N587" s="16" t="s">
        <v>597</v>
      </c>
    </row>
    <row r="588" spans="1:16" s="5" customFormat="1" ht="12">
      <c r="A588" s="40" t="s">
        <v>152</v>
      </c>
      <c r="B588" s="40" t="s">
        <v>619</v>
      </c>
      <c r="C588" s="97">
        <v>2836</v>
      </c>
      <c r="D588" s="97">
        <v>2795</v>
      </c>
      <c r="E588" s="97">
        <v>2410</v>
      </c>
      <c r="F588" s="97">
        <v>735</v>
      </c>
      <c r="G588" s="97">
        <v>2795</v>
      </c>
      <c r="H588" s="97">
        <v>1818</v>
      </c>
      <c r="I588" s="98"/>
      <c r="J588" s="10">
        <f t="shared" si="42"/>
        <v>17.015999999999998</v>
      </c>
      <c r="K588" s="11">
        <v>6</v>
      </c>
      <c r="L588" s="12">
        <f t="shared" si="43"/>
        <v>2.8359999999999999</v>
      </c>
      <c r="M588" s="13">
        <f t="shared" si="44"/>
        <v>2836</v>
      </c>
      <c r="N588" s="16" t="s">
        <v>620</v>
      </c>
    </row>
    <row r="589" spans="1:16" s="5" customFormat="1" ht="12">
      <c r="A589" s="40" t="s">
        <v>152</v>
      </c>
      <c r="B589" s="40" t="s">
        <v>912</v>
      </c>
      <c r="C589" s="97">
        <v>2108</v>
      </c>
      <c r="D589" s="97">
        <v>2089</v>
      </c>
      <c r="E589" s="97">
        <v>1758</v>
      </c>
      <c r="F589" s="97">
        <v>517</v>
      </c>
      <c r="G589" s="97">
        <v>2064</v>
      </c>
      <c r="H589" s="97">
        <v>1217</v>
      </c>
      <c r="I589" s="98"/>
      <c r="J589" s="10">
        <f t="shared" si="42"/>
        <v>12.648</v>
      </c>
      <c r="K589" s="11">
        <v>6</v>
      </c>
      <c r="L589" s="12">
        <f t="shared" si="43"/>
        <v>2.1080000000000001</v>
      </c>
      <c r="M589" s="13">
        <f t="shared" si="44"/>
        <v>2108</v>
      </c>
      <c r="N589" s="16" t="s">
        <v>913</v>
      </c>
    </row>
    <row r="590" spans="1:16" s="5" customFormat="1" ht="12">
      <c r="A590" s="40" t="s">
        <v>152</v>
      </c>
      <c r="B590" s="40" t="s">
        <v>1583</v>
      </c>
      <c r="C590" s="97">
        <v>2459</v>
      </c>
      <c r="D590" s="97">
        <v>2415</v>
      </c>
      <c r="E590" s="97">
        <v>1965</v>
      </c>
      <c r="F590" s="97">
        <v>666</v>
      </c>
      <c r="G590" s="97">
        <v>2442</v>
      </c>
      <c r="H590" s="97">
        <v>1462</v>
      </c>
      <c r="I590" s="98"/>
      <c r="J590" s="10">
        <f t="shared" si="42"/>
        <v>14.754000000000001</v>
      </c>
      <c r="K590" s="11">
        <v>6</v>
      </c>
      <c r="L590" s="12">
        <f t="shared" si="43"/>
        <v>2.4590000000000001</v>
      </c>
      <c r="M590" s="13">
        <f t="shared" si="44"/>
        <v>2459</v>
      </c>
      <c r="N590" s="16" t="s">
        <v>1584</v>
      </c>
    </row>
    <row r="591" spans="1:16" s="5" customFormat="1" ht="12">
      <c r="A591" s="40" t="s">
        <v>152</v>
      </c>
      <c r="B591" s="40" t="s">
        <v>1591</v>
      </c>
      <c r="C591" s="97">
        <v>6262</v>
      </c>
      <c r="D591" s="97">
        <v>6205</v>
      </c>
      <c r="E591" s="97">
        <v>5435</v>
      </c>
      <c r="F591" s="97">
        <v>1743</v>
      </c>
      <c r="G591" s="97">
        <v>6199</v>
      </c>
      <c r="H591" s="97">
        <v>3986</v>
      </c>
      <c r="I591" s="98"/>
      <c r="J591" s="10">
        <f t="shared" si="42"/>
        <v>37.571999999999996</v>
      </c>
      <c r="K591" s="11">
        <v>6</v>
      </c>
      <c r="L591" s="12">
        <f t="shared" si="43"/>
        <v>6.2619999999999996</v>
      </c>
      <c r="M591" s="13">
        <f t="shared" si="44"/>
        <v>6262</v>
      </c>
      <c r="N591" s="16" t="s">
        <v>1592</v>
      </c>
    </row>
    <row r="592" spans="1:16" s="5" customFormat="1" ht="12">
      <c r="A592" s="40" t="s">
        <v>152</v>
      </c>
      <c r="B592" s="40" t="s">
        <v>1672</v>
      </c>
      <c r="C592" s="97">
        <v>1157</v>
      </c>
      <c r="D592" s="97">
        <v>1141</v>
      </c>
      <c r="E592" s="97">
        <v>964</v>
      </c>
      <c r="F592" s="97">
        <v>234</v>
      </c>
      <c r="G592" s="97">
        <v>1140</v>
      </c>
      <c r="H592" s="97">
        <v>608</v>
      </c>
      <c r="I592" s="98"/>
      <c r="J592" s="10">
        <f t="shared" si="42"/>
        <v>6.9420000000000002</v>
      </c>
      <c r="K592" s="11">
        <v>6</v>
      </c>
      <c r="L592" s="12">
        <f t="shared" si="43"/>
        <v>1.157</v>
      </c>
      <c r="M592" s="13">
        <f t="shared" si="44"/>
        <v>1157</v>
      </c>
      <c r="N592" s="16" t="s">
        <v>1673</v>
      </c>
    </row>
    <row r="593" spans="1:16" s="5" customFormat="1" ht="12">
      <c r="A593" s="40" t="s">
        <v>152</v>
      </c>
      <c r="B593" s="40" t="s">
        <v>152</v>
      </c>
      <c r="C593" s="97">
        <v>8965</v>
      </c>
      <c r="D593" s="97">
        <v>8773</v>
      </c>
      <c r="E593" s="97">
        <v>7591</v>
      </c>
      <c r="F593" s="97">
        <v>2735</v>
      </c>
      <c r="G593" s="97">
        <v>8884</v>
      </c>
      <c r="H593" s="97">
        <v>5851</v>
      </c>
      <c r="I593" s="98"/>
      <c r="J593" s="10">
        <f t="shared" si="42"/>
        <v>44.825000000000003</v>
      </c>
      <c r="K593" s="11">
        <v>5</v>
      </c>
      <c r="L593" s="12">
        <f t="shared" si="43"/>
        <v>8.9649999999999999</v>
      </c>
      <c r="M593" s="13">
        <f t="shared" si="44"/>
        <v>8965</v>
      </c>
      <c r="N593" s="16" t="s">
        <v>1766</v>
      </c>
    </row>
    <row r="594" spans="1:16" s="5" customFormat="1" ht="12">
      <c r="A594" s="40" t="s">
        <v>152</v>
      </c>
      <c r="B594" s="40" t="s">
        <v>1797</v>
      </c>
      <c r="C594" s="97">
        <v>1342</v>
      </c>
      <c r="D594" s="97">
        <v>1321</v>
      </c>
      <c r="E594" s="97">
        <v>1096</v>
      </c>
      <c r="F594" s="97">
        <v>297</v>
      </c>
      <c r="G594" s="97">
        <v>1324</v>
      </c>
      <c r="H594" s="97">
        <v>760</v>
      </c>
      <c r="I594" s="98"/>
      <c r="J594" s="10">
        <f t="shared" si="42"/>
        <v>8.0519999999999996</v>
      </c>
      <c r="K594" s="11">
        <v>6</v>
      </c>
      <c r="L594" s="12">
        <f t="shared" si="43"/>
        <v>1.3420000000000001</v>
      </c>
      <c r="M594" s="13">
        <f t="shared" si="44"/>
        <v>1342</v>
      </c>
      <c r="N594" s="16" t="s">
        <v>1798</v>
      </c>
    </row>
    <row r="595" spans="1:16" s="5" customFormat="1" ht="12">
      <c r="A595" s="40" t="s">
        <v>152</v>
      </c>
      <c r="B595" s="40" t="s">
        <v>1852</v>
      </c>
      <c r="C595" s="97">
        <v>1881</v>
      </c>
      <c r="D595" s="97">
        <v>1848</v>
      </c>
      <c r="E595" s="97">
        <v>1555</v>
      </c>
      <c r="F595" s="97">
        <v>511</v>
      </c>
      <c r="G595" s="97">
        <v>1851</v>
      </c>
      <c r="H595" s="97">
        <v>1141</v>
      </c>
      <c r="I595" s="98"/>
      <c r="J595" s="10">
        <f t="shared" si="42"/>
        <v>11.286</v>
      </c>
      <c r="K595" s="11">
        <v>6</v>
      </c>
      <c r="L595" s="12">
        <f t="shared" si="43"/>
        <v>1.881</v>
      </c>
      <c r="M595" s="13">
        <f t="shared" si="44"/>
        <v>1881</v>
      </c>
      <c r="N595" s="16" t="s">
        <v>1853</v>
      </c>
    </row>
    <row r="596" spans="1:16" s="5" customFormat="1" ht="12">
      <c r="A596" s="40" t="s">
        <v>24</v>
      </c>
      <c r="B596" s="40" t="s">
        <v>25</v>
      </c>
      <c r="C596" s="97">
        <v>446</v>
      </c>
      <c r="D596" s="97">
        <v>428</v>
      </c>
      <c r="E596" s="97">
        <v>345</v>
      </c>
      <c r="F596" s="97">
        <v>95</v>
      </c>
      <c r="G596" s="97">
        <v>443</v>
      </c>
      <c r="H596" s="97">
        <v>251</v>
      </c>
      <c r="I596" s="98"/>
      <c r="J596" s="10">
        <f t="shared" si="42"/>
        <v>2.6760000000000002</v>
      </c>
      <c r="K596" s="11">
        <v>6</v>
      </c>
      <c r="L596" s="12">
        <f t="shared" si="43"/>
        <v>0.44600000000000001</v>
      </c>
      <c r="M596" s="13">
        <f t="shared" si="44"/>
        <v>446</v>
      </c>
      <c r="N596" s="14" t="s">
        <v>26</v>
      </c>
    </row>
    <row r="597" spans="1:16" s="5" customFormat="1" ht="12">
      <c r="A597" s="40" t="s">
        <v>24</v>
      </c>
      <c r="B597" s="40" t="s">
        <v>48</v>
      </c>
      <c r="C597" s="97">
        <v>909</v>
      </c>
      <c r="D597" s="97">
        <v>903</v>
      </c>
      <c r="E597" s="97">
        <v>652</v>
      </c>
      <c r="F597" s="97">
        <v>217</v>
      </c>
      <c r="G597" s="97">
        <v>903</v>
      </c>
      <c r="H597" s="97">
        <v>581</v>
      </c>
      <c r="I597" s="98"/>
      <c r="J597" s="10">
        <f t="shared" si="42"/>
        <v>5.4540000000000006</v>
      </c>
      <c r="K597" s="11">
        <v>6</v>
      </c>
      <c r="L597" s="12">
        <f t="shared" si="43"/>
        <v>0.90900000000000003</v>
      </c>
      <c r="M597" s="13">
        <f t="shared" si="44"/>
        <v>909</v>
      </c>
      <c r="N597" s="14" t="s">
        <v>49</v>
      </c>
    </row>
    <row r="598" spans="1:16" s="5" customFormat="1" ht="12">
      <c r="A598" s="40" t="s">
        <v>24</v>
      </c>
      <c r="B598" s="40" t="s">
        <v>62</v>
      </c>
      <c r="C598" s="97">
        <v>438</v>
      </c>
      <c r="D598" s="97">
        <v>426</v>
      </c>
      <c r="E598" s="97">
        <v>371</v>
      </c>
      <c r="F598" s="97">
        <v>104</v>
      </c>
      <c r="G598" s="97">
        <v>432</v>
      </c>
      <c r="H598" s="97">
        <v>283</v>
      </c>
      <c r="I598" s="98"/>
      <c r="J598" s="10">
        <f t="shared" si="42"/>
        <v>2.6280000000000001</v>
      </c>
      <c r="K598" s="11">
        <v>6</v>
      </c>
      <c r="L598" s="12">
        <f t="shared" si="43"/>
        <v>0.438</v>
      </c>
      <c r="M598" s="13">
        <f t="shared" si="44"/>
        <v>438</v>
      </c>
      <c r="N598" s="14" t="s">
        <v>63</v>
      </c>
    </row>
    <row r="599" spans="1:16" s="5" customFormat="1" ht="12">
      <c r="A599" s="40" t="s">
        <v>24</v>
      </c>
      <c r="B599" s="67" t="s">
        <v>1989</v>
      </c>
      <c r="C599" s="97">
        <v>1543</v>
      </c>
      <c r="D599" s="97">
        <v>1527</v>
      </c>
      <c r="E599" s="97">
        <v>1323</v>
      </c>
      <c r="F599" s="97">
        <v>412</v>
      </c>
      <c r="G599" s="97">
        <v>1518</v>
      </c>
      <c r="H599" s="97">
        <v>984</v>
      </c>
      <c r="I599" s="98"/>
      <c r="J599" s="10">
        <f t="shared" si="42"/>
        <v>9.2579999999999991</v>
      </c>
      <c r="K599" s="11">
        <v>6</v>
      </c>
      <c r="L599" s="12">
        <f t="shared" si="43"/>
        <v>1.5429999999999999</v>
      </c>
      <c r="M599" s="13">
        <f t="shared" si="44"/>
        <v>1543</v>
      </c>
      <c r="N599" s="16" t="s">
        <v>64</v>
      </c>
    </row>
    <row r="600" spans="1:16" s="5" customFormat="1" ht="12">
      <c r="A600" s="40" t="s">
        <v>24</v>
      </c>
      <c r="B600" s="40" t="s">
        <v>291</v>
      </c>
      <c r="C600" s="97">
        <v>1355</v>
      </c>
      <c r="D600" s="97">
        <v>1318</v>
      </c>
      <c r="E600" s="97">
        <v>1142</v>
      </c>
      <c r="F600" s="97">
        <v>304</v>
      </c>
      <c r="G600" s="97">
        <v>1329</v>
      </c>
      <c r="H600" s="97">
        <v>780</v>
      </c>
      <c r="I600" s="98"/>
      <c r="J600" s="10">
        <f t="shared" si="42"/>
        <v>8.129999999999999</v>
      </c>
      <c r="K600" s="11">
        <v>6</v>
      </c>
      <c r="L600" s="12">
        <f t="shared" si="43"/>
        <v>1.355</v>
      </c>
      <c r="M600" s="13">
        <f t="shared" si="44"/>
        <v>1355</v>
      </c>
      <c r="N600" s="16" t="s">
        <v>292</v>
      </c>
    </row>
    <row r="601" spans="1:16" s="5" customFormat="1" ht="12">
      <c r="A601" s="40" t="s">
        <v>24</v>
      </c>
      <c r="B601" s="40" t="s">
        <v>328</v>
      </c>
      <c r="C601" s="97">
        <v>1060</v>
      </c>
      <c r="D601" s="97">
        <v>1053</v>
      </c>
      <c r="E601" s="97">
        <v>887</v>
      </c>
      <c r="F601" s="97">
        <v>257</v>
      </c>
      <c r="G601" s="97">
        <v>1025</v>
      </c>
      <c r="H601" s="97">
        <v>632</v>
      </c>
      <c r="I601" s="98"/>
      <c r="J601" s="10">
        <f t="shared" si="42"/>
        <v>6.36</v>
      </c>
      <c r="K601" s="11">
        <v>6</v>
      </c>
      <c r="L601" s="12">
        <f t="shared" si="43"/>
        <v>1.06</v>
      </c>
      <c r="M601" s="13">
        <f t="shared" si="44"/>
        <v>1060</v>
      </c>
      <c r="N601" s="16" t="s">
        <v>329</v>
      </c>
    </row>
    <row r="602" spans="1:16" s="5" customFormat="1" ht="12">
      <c r="A602" s="40" t="s">
        <v>24</v>
      </c>
      <c r="B602" s="40" t="s">
        <v>381</v>
      </c>
      <c r="C602" s="97">
        <v>1143</v>
      </c>
      <c r="D602" s="97">
        <v>1136</v>
      </c>
      <c r="E602" s="97">
        <v>1009</v>
      </c>
      <c r="F602" s="97">
        <v>244</v>
      </c>
      <c r="G602" s="97">
        <v>1127</v>
      </c>
      <c r="H602" s="97">
        <v>642</v>
      </c>
      <c r="I602" s="98"/>
      <c r="J602" s="10">
        <f t="shared" si="42"/>
        <v>6.8580000000000005</v>
      </c>
      <c r="K602" s="11">
        <v>6</v>
      </c>
      <c r="L602" s="12">
        <f t="shared" si="43"/>
        <v>1.143</v>
      </c>
      <c r="M602" s="13">
        <f t="shared" si="44"/>
        <v>1143</v>
      </c>
      <c r="N602" s="16" t="s">
        <v>382</v>
      </c>
    </row>
    <row r="603" spans="1:16" s="5" customFormat="1" ht="12">
      <c r="A603" s="40" t="s">
        <v>24</v>
      </c>
      <c r="B603" s="40" t="s">
        <v>1120</v>
      </c>
      <c r="C603" s="97">
        <v>2557</v>
      </c>
      <c r="D603" s="97">
        <v>2527</v>
      </c>
      <c r="E603" s="97">
        <v>2170</v>
      </c>
      <c r="F603" s="97">
        <v>656</v>
      </c>
      <c r="G603" s="97">
        <v>2539</v>
      </c>
      <c r="H603" s="97">
        <v>1623</v>
      </c>
      <c r="I603" s="98"/>
      <c r="J603" s="10">
        <f t="shared" si="42"/>
        <v>15.341999999999999</v>
      </c>
      <c r="K603" s="11">
        <v>6</v>
      </c>
      <c r="L603" s="12">
        <f t="shared" si="43"/>
        <v>2.5569999999999999</v>
      </c>
      <c r="M603" s="13">
        <f t="shared" si="44"/>
        <v>2557</v>
      </c>
      <c r="N603" s="16" t="s">
        <v>1121</v>
      </c>
    </row>
    <row r="604" spans="1:16" s="5" customFormat="1" ht="12">
      <c r="A604" s="40" t="s">
        <v>24</v>
      </c>
      <c r="B604" s="40" t="s">
        <v>1155</v>
      </c>
      <c r="C604" s="97">
        <v>1564</v>
      </c>
      <c r="D604" s="97">
        <v>1533</v>
      </c>
      <c r="E604" s="97">
        <v>1263</v>
      </c>
      <c r="F604" s="97">
        <v>350</v>
      </c>
      <c r="G604" s="97">
        <v>1540</v>
      </c>
      <c r="H604" s="97">
        <v>879</v>
      </c>
      <c r="I604" s="98"/>
      <c r="J604" s="10">
        <f t="shared" si="42"/>
        <v>9.3840000000000003</v>
      </c>
      <c r="K604" s="11">
        <v>6</v>
      </c>
      <c r="L604" s="12">
        <f t="shared" si="43"/>
        <v>1.5640000000000001</v>
      </c>
      <c r="M604" s="13">
        <f t="shared" si="44"/>
        <v>1564</v>
      </c>
      <c r="N604" s="16" t="s">
        <v>1156</v>
      </c>
    </row>
    <row r="605" spans="1:16" s="5" customFormat="1" ht="12">
      <c r="A605" s="40" t="s">
        <v>24</v>
      </c>
      <c r="B605" s="40" t="s">
        <v>1247</v>
      </c>
      <c r="C605" s="97">
        <v>1595</v>
      </c>
      <c r="D605" s="97">
        <v>1581</v>
      </c>
      <c r="E605" s="97">
        <v>1318</v>
      </c>
      <c r="F605" s="97">
        <v>386</v>
      </c>
      <c r="G605" s="97">
        <v>1568</v>
      </c>
      <c r="H605" s="97">
        <v>1013</v>
      </c>
      <c r="I605" s="98"/>
      <c r="J605" s="10">
        <f t="shared" si="42"/>
        <v>9.57</v>
      </c>
      <c r="K605" s="11">
        <v>6</v>
      </c>
      <c r="L605" s="12">
        <f t="shared" si="43"/>
        <v>1.595</v>
      </c>
      <c r="M605" s="13">
        <f t="shared" si="44"/>
        <v>1595</v>
      </c>
      <c r="N605" s="16" t="s">
        <v>1248</v>
      </c>
    </row>
    <row r="606" spans="1:16" s="1" customFormat="1" ht="12">
      <c r="A606" s="40" t="s">
        <v>24</v>
      </c>
      <c r="B606" s="40" t="s">
        <v>1523</v>
      </c>
      <c r="C606" s="97">
        <v>2521</v>
      </c>
      <c r="D606" s="97">
        <v>2502</v>
      </c>
      <c r="E606" s="97">
        <v>2112</v>
      </c>
      <c r="F606" s="97">
        <v>556</v>
      </c>
      <c r="G606" s="97">
        <v>2495</v>
      </c>
      <c r="H606" s="97">
        <v>1449</v>
      </c>
      <c r="I606" s="98"/>
      <c r="J606" s="10">
        <f t="shared" si="42"/>
        <v>15.125999999999999</v>
      </c>
      <c r="K606" s="11">
        <v>6</v>
      </c>
      <c r="L606" s="12">
        <f t="shared" si="43"/>
        <v>2.5209999999999999</v>
      </c>
      <c r="M606" s="13">
        <f t="shared" si="44"/>
        <v>2521</v>
      </c>
      <c r="N606" s="16" t="s">
        <v>1524</v>
      </c>
      <c r="O606" s="5"/>
      <c r="P606" s="5"/>
    </row>
    <row r="607" spans="1:16" s="5" customFormat="1" ht="12">
      <c r="A607" s="40" t="s">
        <v>24</v>
      </c>
      <c r="B607" s="40" t="s">
        <v>1565</v>
      </c>
      <c r="C607" s="97">
        <v>2935</v>
      </c>
      <c r="D607" s="97">
        <v>2891</v>
      </c>
      <c r="E607" s="97">
        <v>2414</v>
      </c>
      <c r="F607" s="97">
        <v>642</v>
      </c>
      <c r="G607" s="97">
        <v>2918</v>
      </c>
      <c r="H607" s="97">
        <v>1748</v>
      </c>
      <c r="I607" s="98"/>
      <c r="J607" s="10">
        <f t="shared" si="42"/>
        <v>17.61</v>
      </c>
      <c r="K607" s="11">
        <v>6</v>
      </c>
      <c r="L607" s="12">
        <f t="shared" si="43"/>
        <v>2.9350000000000001</v>
      </c>
      <c r="M607" s="13">
        <f t="shared" si="44"/>
        <v>2935</v>
      </c>
      <c r="N607" s="16" t="s">
        <v>1566</v>
      </c>
    </row>
    <row r="608" spans="1:16" s="5" customFormat="1" ht="12">
      <c r="A608" s="40" t="s">
        <v>24</v>
      </c>
      <c r="B608" s="40" t="s">
        <v>1631</v>
      </c>
      <c r="C608" s="97">
        <v>4136</v>
      </c>
      <c r="D608" s="97">
        <v>4136</v>
      </c>
      <c r="E608" s="97">
        <v>3491</v>
      </c>
      <c r="F608" s="97">
        <v>1087</v>
      </c>
      <c r="G608" s="97">
        <v>4084</v>
      </c>
      <c r="H608" s="97">
        <v>2840</v>
      </c>
      <c r="I608" s="98"/>
      <c r="J608" s="10">
        <f t="shared" si="42"/>
        <v>24.816000000000003</v>
      </c>
      <c r="K608" s="11">
        <v>6</v>
      </c>
      <c r="L608" s="12">
        <f t="shared" si="43"/>
        <v>4.1360000000000001</v>
      </c>
      <c r="M608" s="13">
        <f t="shared" si="44"/>
        <v>4136</v>
      </c>
      <c r="N608" s="16" t="s">
        <v>1632</v>
      </c>
    </row>
    <row r="609" spans="1:16" s="5" customFormat="1" ht="12">
      <c r="A609" s="40" t="s">
        <v>24</v>
      </c>
      <c r="B609" s="40" t="s">
        <v>24</v>
      </c>
      <c r="C609" s="97">
        <v>9862</v>
      </c>
      <c r="D609" s="97">
        <v>9593</v>
      </c>
      <c r="E609" s="97">
        <v>8464</v>
      </c>
      <c r="F609" s="97">
        <v>2749</v>
      </c>
      <c r="G609" s="97">
        <v>9746</v>
      </c>
      <c r="H609" s="97">
        <v>6666</v>
      </c>
      <c r="I609" s="98"/>
      <c r="J609" s="10">
        <f t="shared" si="42"/>
        <v>49.31</v>
      </c>
      <c r="K609" s="11">
        <v>5</v>
      </c>
      <c r="L609" s="12">
        <f t="shared" si="43"/>
        <v>9.8620000000000001</v>
      </c>
      <c r="M609" s="13">
        <f t="shared" si="44"/>
        <v>9862</v>
      </c>
      <c r="N609" s="16" t="s">
        <v>1774</v>
      </c>
    </row>
    <row r="610" spans="1:16" s="5" customFormat="1">
      <c r="A610" s="67" t="s">
        <v>159</v>
      </c>
      <c r="B610" s="67" t="s">
        <v>160</v>
      </c>
      <c r="C610" s="108">
        <v>1507</v>
      </c>
      <c r="D610" s="108">
        <v>1472</v>
      </c>
      <c r="E610" s="108">
        <v>1221</v>
      </c>
      <c r="F610" s="108">
        <v>388</v>
      </c>
      <c r="G610" s="108">
        <v>1459</v>
      </c>
      <c r="H610" s="108">
        <v>893</v>
      </c>
      <c r="I610" s="92"/>
      <c r="J610" s="51">
        <f t="shared" si="42"/>
        <v>9.0419999999999998</v>
      </c>
      <c r="K610" s="50">
        <v>6</v>
      </c>
      <c r="L610" s="49">
        <f t="shared" si="43"/>
        <v>1.5069999999999999</v>
      </c>
      <c r="M610" s="48">
        <f t="shared" si="44"/>
        <v>1507</v>
      </c>
      <c r="N610" s="47" t="s">
        <v>161</v>
      </c>
      <c r="O610"/>
      <c r="P610"/>
    </row>
    <row r="611" spans="1:16" s="5" customFormat="1">
      <c r="A611" s="67" t="s">
        <v>159</v>
      </c>
      <c r="B611" s="67" t="s">
        <v>272</v>
      </c>
      <c r="C611" s="108">
        <v>522</v>
      </c>
      <c r="D611" s="108">
        <v>499</v>
      </c>
      <c r="E611" s="108">
        <v>390</v>
      </c>
      <c r="F611" s="108">
        <v>76</v>
      </c>
      <c r="G611" s="108">
        <v>505</v>
      </c>
      <c r="H611" s="108">
        <v>232</v>
      </c>
      <c r="I611" s="92"/>
      <c r="J611" s="51">
        <f t="shared" si="42"/>
        <v>3.1320000000000001</v>
      </c>
      <c r="K611" s="50">
        <v>6</v>
      </c>
      <c r="L611" s="49">
        <f t="shared" si="43"/>
        <v>0.52200000000000002</v>
      </c>
      <c r="M611" s="48">
        <f t="shared" si="44"/>
        <v>522</v>
      </c>
      <c r="N611" s="52" t="s">
        <v>2037</v>
      </c>
      <c r="O611"/>
      <c r="P611"/>
    </row>
    <row r="612" spans="1:16" s="5" customFormat="1">
      <c r="A612" s="67" t="s">
        <v>159</v>
      </c>
      <c r="B612" s="67" t="s">
        <v>600</v>
      </c>
      <c r="C612" s="108">
        <v>439</v>
      </c>
      <c r="D612" s="108">
        <v>424</v>
      </c>
      <c r="E612" s="108">
        <v>334</v>
      </c>
      <c r="F612" s="108">
        <v>99</v>
      </c>
      <c r="G612" s="108">
        <v>429</v>
      </c>
      <c r="H612" s="108">
        <v>228</v>
      </c>
      <c r="I612" s="92"/>
      <c r="J612" s="51">
        <f t="shared" si="42"/>
        <v>2.6339999999999999</v>
      </c>
      <c r="K612" s="50">
        <v>6</v>
      </c>
      <c r="L612" s="49">
        <f t="shared" si="43"/>
        <v>0.439</v>
      </c>
      <c r="M612" s="48">
        <f t="shared" si="44"/>
        <v>439</v>
      </c>
      <c r="N612" s="52" t="s">
        <v>2036</v>
      </c>
      <c r="O612"/>
      <c r="P612"/>
    </row>
    <row r="613" spans="1:16" s="5" customFormat="1">
      <c r="A613" s="67" t="s">
        <v>159</v>
      </c>
      <c r="B613" s="67" t="s">
        <v>159</v>
      </c>
      <c r="C613" s="108">
        <v>2490</v>
      </c>
      <c r="D613" s="108">
        <v>2459</v>
      </c>
      <c r="E613" s="108">
        <v>2082</v>
      </c>
      <c r="F613" s="108">
        <v>741</v>
      </c>
      <c r="G613" s="108">
        <v>2435</v>
      </c>
      <c r="H613" s="108">
        <v>1536</v>
      </c>
      <c r="I613" s="92"/>
      <c r="J613" s="51">
        <f t="shared" si="42"/>
        <v>14.940000000000001</v>
      </c>
      <c r="K613" s="50">
        <v>6</v>
      </c>
      <c r="L613" s="49">
        <f t="shared" si="43"/>
        <v>2.4900000000000002</v>
      </c>
      <c r="M613" s="48">
        <f t="shared" si="44"/>
        <v>2490</v>
      </c>
      <c r="N613" s="47" t="s">
        <v>1775</v>
      </c>
      <c r="O613"/>
      <c r="P613"/>
    </row>
    <row r="614" spans="1:16" s="5" customFormat="1">
      <c r="A614" s="67" t="s">
        <v>159</v>
      </c>
      <c r="B614" s="67" t="s">
        <v>1841</v>
      </c>
      <c r="C614" s="108">
        <v>341</v>
      </c>
      <c r="D614" s="108">
        <v>332</v>
      </c>
      <c r="E614" s="108">
        <v>277</v>
      </c>
      <c r="F614" s="108">
        <v>97</v>
      </c>
      <c r="G614" s="108">
        <v>327</v>
      </c>
      <c r="H614" s="108">
        <v>196</v>
      </c>
      <c r="I614" s="92"/>
      <c r="J614" s="51">
        <f t="shared" si="42"/>
        <v>2.0460000000000003</v>
      </c>
      <c r="K614" s="50">
        <v>6</v>
      </c>
      <c r="L614" s="49">
        <f t="shared" si="43"/>
        <v>0.34100000000000003</v>
      </c>
      <c r="M614" s="48">
        <f t="shared" si="44"/>
        <v>341</v>
      </c>
      <c r="N614" s="52" t="s">
        <v>2035</v>
      </c>
      <c r="O614"/>
      <c r="P614"/>
    </row>
    <row r="615" spans="1:16" s="5" customFormat="1">
      <c r="A615" s="67" t="s">
        <v>434</v>
      </c>
      <c r="B615" s="67" t="s">
        <v>435</v>
      </c>
      <c r="C615" s="108">
        <v>354</v>
      </c>
      <c r="D615" s="108">
        <v>344</v>
      </c>
      <c r="E615" s="108">
        <v>295</v>
      </c>
      <c r="F615" s="108">
        <v>72</v>
      </c>
      <c r="G615" s="108">
        <v>345</v>
      </c>
      <c r="H615" s="108">
        <v>188</v>
      </c>
      <c r="I615" s="92"/>
      <c r="J615" s="51">
        <f t="shared" ref="J615:J646" si="45">+K615*L615</f>
        <v>2.1239999999999997</v>
      </c>
      <c r="K615" s="50">
        <v>6</v>
      </c>
      <c r="L615" s="49">
        <f t="shared" ref="L615:L646" si="46">+M615/1000</f>
        <v>0.35399999999999998</v>
      </c>
      <c r="M615" s="48">
        <f t="shared" ref="M615:M646" si="47">+C615</f>
        <v>354</v>
      </c>
      <c r="N615" s="52" t="s">
        <v>2034</v>
      </c>
      <c r="O615"/>
      <c r="P615"/>
    </row>
    <row r="616" spans="1:16" s="5" customFormat="1">
      <c r="A616" s="67" t="s">
        <v>434</v>
      </c>
      <c r="B616" s="67" t="s">
        <v>694</v>
      </c>
      <c r="C616" s="108">
        <v>412</v>
      </c>
      <c r="D616" s="108">
        <v>398</v>
      </c>
      <c r="E616" s="108">
        <v>343</v>
      </c>
      <c r="F616" s="108">
        <v>117</v>
      </c>
      <c r="G616" s="108">
        <v>395</v>
      </c>
      <c r="H616" s="108">
        <v>269</v>
      </c>
      <c r="I616" s="92"/>
      <c r="J616" s="51">
        <f t="shared" si="45"/>
        <v>2.472</v>
      </c>
      <c r="K616" s="50">
        <v>6</v>
      </c>
      <c r="L616" s="49">
        <f t="shared" si="46"/>
        <v>0.41199999999999998</v>
      </c>
      <c r="M616" s="48">
        <f t="shared" si="47"/>
        <v>412</v>
      </c>
      <c r="N616" s="52" t="s">
        <v>2033</v>
      </c>
      <c r="O616"/>
      <c r="P616"/>
    </row>
    <row r="617" spans="1:16" s="5" customFormat="1">
      <c r="A617" s="67" t="s">
        <v>434</v>
      </c>
      <c r="B617" s="67" t="s">
        <v>784</v>
      </c>
      <c r="C617" s="108">
        <v>559</v>
      </c>
      <c r="D617" s="108">
        <v>541</v>
      </c>
      <c r="E617" s="108">
        <v>447</v>
      </c>
      <c r="F617" s="108">
        <v>125</v>
      </c>
      <c r="G617" s="108">
        <v>550</v>
      </c>
      <c r="H617" s="108">
        <v>282</v>
      </c>
      <c r="I617" s="92"/>
      <c r="J617" s="51">
        <f t="shared" si="45"/>
        <v>3.3540000000000001</v>
      </c>
      <c r="K617" s="50">
        <v>6</v>
      </c>
      <c r="L617" s="49">
        <f t="shared" si="46"/>
        <v>0.55900000000000005</v>
      </c>
      <c r="M617" s="48">
        <f t="shared" si="47"/>
        <v>559</v>
      </c>
      <c r="N617" s="52" t="s">
        <v>2032</v>
      </c>
      <c r="O617"/>
      <c r="P617"/>
    </row>
    <row r="618" spans="1:16" s="5" customFormat="1">
      <c r="A618" s="67" t="s">
        <v>434</v>
      </c>
      <c r="B618" s="67" t="s">
        <v>791</v>
      </c>
      <c r="C618" s="108">
        <v>304</v>
      </c>
      <c r="D618" s="108">
        <v>293</v>
      </c>
      <c r="E618" s="108">
        <v>215</v>
      </c>
      <c r="F618" s="108">
        <v>61</v>
      </c>
      <c r="G618" s="108">
        <v>285</v>
      </c>
      <c r="H618" s="108">
        <v>135</v>
      </c>
      <c r="I618" s="92"/>
      <c r="J618" s="51">
        <f t="shared" si="45"/>
        <v>1.8239999999999998</v>
      </c>
      <c r="K618" s="50">
        <v>6</v>
      </c>
      <c r="L618" s="49">
        <f t="shared" si="46"/>
        <v>0.30399999999999999</v>
      </c>
      <c r="M618" s="48">
        <f t="shared" si="47"/>
        <v>304</v>
      </c>
      <c r="N618" s="52" t="s">
        <v>2031</v>
      </c>
      <c r="O618"/>
      <c r="P618"/>
    </row>
    <row r="619" spans="1:16" s="5" customFormat="1">
      <c r="A619" s="67" t="s">
        <v>434</v>
      </c>
      <c r="B619" s="67" t="s">
        <v>968</v>
      </c>
      <c r="C619" s="108">
        <v>634</v>
      </c>
      <c r="D619" s="108">
        <v>625</v>
      </c>
      <c r="E619" s="108">
        <v>549</v>
      </c>
      <c r="F619" s="108">
        <v>127</v>
      </c>
      <c r="G619" s="108">
        <v>624</v>
      </c>
      <c r="H619" s="108">
        <v>299</v>
      </c>
      <c r="I619" s="92"/>
      <c r="J619" s="51">
        <f t="shared" si="45"/>
        <v>3.8040000000000003</v>
      </c>
      <c r="K619" s="50">
        <v>6</v>
      </c>
      <c r="L619" s="49">
        <f t="shared" si="46"/>
        <v>0.63400000000000001</v>
      </c>
      <c r="M619" s="48">
        <f t="shared" si="47"/>
        <v>634</v>
      </c>
      <c r="N619" s="52" t="s">
        <v>2030</v>
      </c>
      <c r="O619"/>
      <c r="P619"/>
    </row>
    <row r="620" spans="1:16" s="5" customFormat="1">
      <c r="A620" s="67" t="s">
        <v>434</v>
      </c>
      <c r="B620" s="67" t="s">
        <v>1067</v>
      </c>
      <c r="C620" s="108">
        <v>1850</v>
      </c>
      <c r="D620" s="108">
        <v>1821</v>
      </c>
      <c r="E620" s="108">
        <v>1566</v>
      </c>
      <c r="F620" s="108">
        <v>516</v>
      </c>
      <c r="G620" s="108">
        <v>1820</v>
      </c>
      <c r="H620" s="108">
        <v>1164</v>
      </c>
      <c r="I620" s="92"/>
      <c r="J620" s="51">
        <f t="shared" si="45"/>
        <v>11.100000000000001</v>
      </c>
      <c r="K620" s="50">
        <v>6</v>
      </c>
      <c r="L620" s="49">
        <f t="shared" si="46"/>
        <v>1.85</v>
      </c>
      <c r="M620" s="48">
        <f t="shared" si="47"/>
        <v>1850</v>
      </c>
      <c r="N620" s="47" t="s">
        <v>1068</v>
      </c>
      <c r="O620"/>
      <c r="P620"/>
    </row>
    <row r="621" spans="1:16" s="5" customFormat="1">
      <c r="A621" s="67" t="s">
        <v>434</v>
      </c>
      <c r="B621" s="67" t="s">
        <v>1164</v>
      </c>
      <c r="C621" s="108">
        <v>412</v>
      </c>
      <c r="D621" s="108">
        <v>405</v>
      </c>
      <c r="E621" s="108">
        <v>352</v>
      </c>
      <c r="F621" s="108">
        <v>83</v>
      </c>
      <c r="G621" s="108">
        <v>403</v>
      </c>
      <c r="H621" s="108">
        <v>218</v>
      </c>
      <c r="I621" s="92"/>
      <c r="J621" s="51">
        <f t="shared" si="45"/>
        <v>2.472</v>
      </c>
      <c r="K621" s="50">
        <v>6</v>
      </c>
      <c r="L621" s="49">
        <f t="shared" si="46"/>
        <v>0.41199999999999998</v>
      </c>
      <c r="M621" s="48">
        <f t="shared" si="47"/>
        <v>412</v>
      </c>
      <c r="N621" s="52" t="s">
        <v>2029</v>
      </c>
      <c r="O621"/>
      <c r="P621"/>
    </row>
    <row r="622" spans="1:16" s="5" customFormat="1">
      <c r="A622" s="67" t="s">
        <v>434</v>
      </c>
      <c r="B622" s="67" t="s">
        <v>1270</v>
      </c>
      <c r="C622" s="108">
        <v>353</v>
      </c>
      <c r="D622" s="108">
        <v>347</v>
      </c>
      <c r="E622" s="108">
        <v>250</v>
      </c>
      <c r="F622" s="108">
        <v>76</v>
      </c>
      <c r="G622" s="108">
        <v>339</v>
      </c>
      <c r="H622" s="108">
        <v>164</v>
      </c>
      <c r="I622" s="92"/>
      <c r="J622" s="51">
        <f t="shared" si="45"/>
        <v>2.1179999999999999</v>
      </c>
      <c r="K622" s="50">
        <v>6</v>
      </c>
      <c r="L622" s="49">
        <f t="shared" si="46"/>
        <v>0.35299999999999998</v>
      </c>
      <c r="M622" s="48">
        <f t="shared" si="47"/>
        <v>353</v>
      </c>
      <c r="N622" s="52" t="s">
        <v>2028</v>
      </c>
      <c r="O622"/>
      <c r="P622"/>
    </row>
    <row r="623" spans="1:16" s="5" customFormat="1">
      <c r="A623" s="67" t="s">
        <v>434</v>
      </c>
      <c r="B623" s="67" t="s">
        <v>1275</v>
      </c>
      <c r="C623" s="108">
        <v>609</v>
      </c>
      <c r="D623" s="108">
        <v>599</v>
      </c>
      <c r="E623" s="108">
        <v>510</v>
      </c>
      <c r="F623" s="108">
        <v>135</v>
      </c>
      <c r="G623" s="108">
        <v>593</v>
      </c>
      <c r="H623" s="108">
        <v>300</v>
      </c>
      <c r="I623" s="92"/>
      <c r="J623" s="51">
        <f t="shared" si="45"/>
        <v>3.6539999999999999</v>
      </c>
      <c r="K623" s="50">
        <v>6</v>
      </c>
      <c r="L623" s="49">
        <f t="shared" si="46"/>
        <v>0.60899999999999999</v>
      </c>
      <c r="M623" s="48">
        <f t="shared" si="47"/>
        <v>609</v>
      </c>
      <c r="N623" s="52" t="s">
        <v>2027</v>
      </c>
      <c r="O623"/>
      <c r="P623"/>
    </row>
    <row r="624" spans="1:16" s="5" customFormat="1">
      <c r="A624" s="67" t="s">
        <v>434</v>
      </c>
      <c r="B624" s="67" t="s">
        <v>1380</v>
      </c>
      <c r="C624" s="108">
        <v>504</v>
      </c>
      <c r="D624" s="108">
        <v>498</v>
      </c>
      <c r="E624" s="108">
        <v>382</v>
      </c>
      <c r="F624" s="108">
        <v>102</v>
      </c>
      <c r="G624" s="108">
        <v>493</v>
      </c>
      <c r="H624" s="108">
        <v>223</v>
      </c>
      <c r="I624" s="92"/>
      <c r="J624" s="51">
        <f t="shared" si="45"/>
        <v>3.024</v>
      </c>
      <c r="K624" s="50">
        <v>6</v>
      </c>
      <c r="L624" s="49">
        <f t="shared" si="46"/>
        <v>0.504</v>
      </c>
      <c r="M624" s="48">
        <f t="shared" si="47"/>
        <v>504</v>
      </c>
      <c r="N624" s="52" t="s">
        <v>2026</v>
      </c>
      <c r="O624"/>
      <c r="P624"/>
    </row>
    <row r="625" spans="1:16" s="5" customFormat="1">
      <c r="A625" s="67" t="s">
        <v>434</v>
      </c>
      <c r="B625" s="67" t="s">
        <v>1423</v>
      </c>
      <c r="C625" s="108">
        <v>303</v>
      </c>
      <c r="D625" s="108">
        <v>295</v>
      </c>
      <c r="E625" s="108">
        <v>253</v>
      </c>
      <c r="F625" s="108">
        <v>81</v>
      </c>
      <c r="G625" s="108">
        <v>297</v>
      </c>
      <c r="H625" s="108">
        <v>185</v>
      </c>
      <c r="I625" s="92"/>
      <c r="J625" s="51">
        <f t="shared" si="45"/>
        <v>1.8180000000000001</v>
      </c>
      <c r="K625" s="50">
        <v>6</v>
      </c>
      <c r="L625" s="49">
        <f t="shared" si="46"/>
        <v>0.30299999999999999</v>
      </c>
      <c r="M625" s="48">
        <f t="shared" si="47"/>
        <v>303</v>
      </c>
      <c r="N625" s="52" t="s">
        <v>2025</v>
      </c>
      <c r="O625"/>
      <c r="P625"/>
    </row>
    <row r="626" spans="1:16" s="5" customFormat="1">
      <c r="A626" s="67" t="s">
        <v>434</v>
      </c>
      <c r="B626" s="67" t="s">
        <v>1434</v>
      </c>
      <c r="C626" s="108">
        <v>757</v>
      </c>
      <c r="D626" s="108">
        <v>736</v>
      </c>
      <c r="E626" s="108">
        <v>615</v>
      </c>
      <c r="F626" s="108">
        <v>154</v>
      </c>
      <c r="G626" s="108">
        <v>738</v>
      </c>
      <c r="H626" s="108">
        <v>382</v>
      </c>
      <c r="I626" s="92"/>
      <c r="J626" s="51">
        <f t="shared" si="45"/>
        <v>4.5419999999999998</v>
      </c>
      <c r="K626" s="50">
        <v>6</v>
      </c>
      <c r="L626" s="49">
        <f t="shared" si="46"/>
        <v>0.75700000000000001</v>
      </c>
      <c r="M626" s="48">
        <f t="shared" si="47"/>
        <v>757</v>
      </c>
      <c r="N626" s="52" t="s">
        <v>2024</v>
      </c>
      <c r="O626"/>
      <c r="P626"/>
    </row>
    <row r="627" spans="1:16" s="5" customFormat="1">
      <c r="A627" s="67" t="s">
        <v>434</v>
      </c>
      <c r="B627" s="67" t="s">
        <v>1439</v>
      </c>
      <c r="C627" s="108">
        <v>555</v>
      </c>
      <c r="D627" s="108">
        <v>546</v>
      </c>
      <c r="E627" s="108">
        <v>451</v>
      </c>
      <c r="F627" s="108">
        <v>141</v>
      </c>
      <c r="G627" s="108">
        <v>547</v>
      </c>
      <c r="H627" s="108">
        <v>326</v>
      </c>
      <c r="I627" s="92"/>
      <c r="J627" s="51">
        <f t="shared" si="45"/>
        <v>3.33</v>
      </c>
      <c r="K627" s="50">
        <v>6</v>
      </c>
      <c r="L627" s="49">
        <f t="shared" si="46"/>
        <v>0.55500000000000005</v>
      </c>
      <c r="M627" s="48">
        <f t="shared" si="47"/>
        <v>555</v>
      </c>
      <c r="N627" s="52" t="s">
        <v>2023</v>
      </c>
      <c r="O627"/>
      <c r="P627"/>
    </row>
    <row r="628" spans="1:16" s="5" customFormat="1">
      <c r="A628" s="67" t="s">
        <v>434</v>
      </c>
      <c r="B628" s="67" t="s">
        <v>1579</v>
      </c>
      <c r="C628" s="108">
        <v>730</v>
      </c>
      <c r="D628" s="108">
        <v>709</v>
      </c>
      <c r="E628" s="108">
        <v>604</v>
      </c>
      <c r="F628" s="108">
        <v>178</v>
      </c>
      <c r="G628" s="108">
        <v>719</v>
      </c>
      <c r="H628" s="108">
        <v>388</v>
      </c>
      <c r="I628" s="92"/>
      <c r="J628" s="51">
        <f t="shared" si="45"/>
        <v>4.38</v>
      </c>
      <c r="K628" s="50">
        <v>6</v>
      </c>
      <c r="L628" s="49">
        <f t="shared" si="46"/>
        <v>0.73</v>
      </c>
      <c r="M628" s="48">
        <f t="shared" si="47"/>
        <v>730</v>
      </c>
      <c r="N628" s="52" t="s">
        <v>2022</v>
      </c>
      <c r="O628"/>
      <c r="P628"/>
    </row>
    <row r="629" spans="1:16" s="5" customFormat="1">
      <c r="A629" s="67" t="s">
        <v>434</v>
      </c>
      <c r="B629" s="67" t="s">
        <v>1735</v>
      </c>
      <c r="C629" s="108">
        <v>504</v>
      </c>
      <c r="D629" s="108">
        <v>485</v>
      </c>
      <c r="E629" s="108">
        <v>416</v>
      </c>
      <c r="F629" s="108">
        <v>122</v>
      </c>
      <c r="G629" s="108">
        <v>495</v>
      </c>
      <c r="H629" s="108">
        <v>296</v>
      </c>
      <c r="I629" s="92"/>
      <c r="J629" s="51">
        <f t="shared" si="45"/>
        <v>3.024</v>
      </c>
      <c r="K629" s="50">
        <v>6</v>
      </c>
      <c r="L629" s="49">
        <f t="shared" si="46"/>
        <v>0.504</v>
      </c>
      <c r="M629" s="48">
        <f t="shared" si="47"/>
        <v>504</v>
      </c>
      <c r="N629" s="52" t="s">
        <v>2021</v>
      </c>
      <c r="O629"/>
      <c r="P629"/>
    </row>
    <row r="630" spans="1:16" s="5" customFormat="1">
      <c r="A630" s="67" t="s">
        <v>434</v>
      </c>
      <c r="B630" s="67" t="s">
        <v>1736</v>
      </c>
      <c r="C630" s="108">
        <v>688</v>
      </c>
      <c r="D630" s="108">
        <v>673</v>
      </c>
      <c r="E630" s="108">
        <v>574</v>
      </c>
      <c r="F630" s="108">
        <v>204</v>
      </c>
      <c r="G630" s="108">
        <v>683</v>
      </c>
      <c r="H630" s="108">
        <v>434</v>
      </c>
      <c r="I630" s="92"/>
      <c r="J630" s="51">
        <f t="shared" si="45"/>
        <v>4.1280000000000001</v>
      </c>
      <c r="K630" s="50">
        <v>6</v>
      </c>
      <c r="L630" s="49">
        <f t="shared" si="46"/>
        <v>0.68799999999999994</v>
      </c>
      <c r="M630" s="48">
        <f t="shared" si="47"/>
        <v>688</v>
      </c>
      <c r="N630" s="52" t="s">
        <v>2020</v>
      </c>
      <c r="O630"/>
      <c r="P630"/>
    </row>
    <row r="631" spans="1:16" s="5" customFormat="1">
      <c r="A631" s="67" t="s">
        <v>434</v>
      </c>
      <c r="B631" s="67" t="s">
        <v>1751</v>
      </c>
      <c r="C631" s="108">
        <v>644</v>
      </c>
      <c r="D631" s="108">
        <v>642</v>
      </c>
      <c r="E631" s="108">
        <v>539</v>
      </c>
      <c r="F631" s="108">
        <v>138</v>
      </c>
      <c r="G631" s="108">
        <v>641</v>
      </c>
      <c r="H631" s="108">
        <v>319</v>
      </c>
      <c r="I631" s="92"/>
      <c r="J631" s="51">
        <f t="shared" si="45"/>
        <v>3.8639999999999999</v>
      </c>
      <c r="K631" s="50">
        <v>6</v>
      </c>
      <c r="L631" s="49">
        <f t="shared" si="46"/>
        <v>0.64400000000000002</v>
      </c>
      <c r="M631" s="48">
        <f t="shared" si="47"/>
        <v>644</v>
      </c>
      <c r="N631" s="52" t="s">
        <v>2019</v>
      </c>
      <c r="O631"/>
      <c r="P631"/>
    </row>
    <row r="632" spans="1:16" s="5" customFormat="1">
      <c r="A632" s="67" t="s">
        <v>434</v>
      </c>
      <c r="B632" s="67" t="s">
        <v>1760</v>
      </c>
      <c r="C632" s="108">
        <v>4465</v>
      </c>
      <c r="D632" s="108">
        <v>4410</v>
      </c>
      <c r="E632" s="108">
        <v>3831</v>
      </c>
      <c r="F632" s="108">
        <v>1209</v>
      </c>
      <c r="G632" s="108">
        <v>4403</v>
      </c>
      <c r="H632" s="108">
        <v>2610</v>
      </c>
      <c r="I632" s="92"/>
      <c r="J632" s="51">
        <f t="shared" si="45"/>
        <v>26.79</v>
      </c>
      <c r="K632" s="50">
        <v>6</v>
      </c>
      <c r="L632" s="49">
        <f t="shared" si="46"/>
        <v>4.4649999999999999</v>
      </c>
      <c r="M632" s="48">
        <f t="shared" si="47"/>
        <v>4465</v>
      </c>
      <c r="N632" s="53" t="s">
        <v>1761</v>
      </c>
      <c r="O632"/>
      <c r="P632"/>
    </row>
    <row r="633" spans="1:16" s="5" customFormat="1">
      <c r="A633" s="67" t="s">
        <v>434</v>
      </c>
      <c r="B633" s="67" t="s">
        <v>434</v>
      </c>
      <c r="C633" s="108">
        <v>6794</v>
      </c>
      <c r="D633" s="108">
        <v>6681</v>
      </c>
      <c r="E633" s="108">
        <v>5722</v>
      </c>
      <c r="F633" s="108">
        <v>2163</v>
      </c>
      <c r="G633" s="108">
        <v>6741</v>
      </c>
      <c r="H633" s="108">
        <v>4672</v>
      </c>
      <c r="I633" s="92"/>
      <c r="J633" s="51">
        <f t="shared" si="45"/>
        <v>40.763999999999996</v>
      </c>
      <c r="K633" s="50">
        <v>6</v>
      </c>
      <c r="L633" s="49">
        <f t="shared" si="46"/>
        <v>6.7939999999999996</v>
      </c>
      <c r="M633" s="48">
        <f t="shared" si="47"/>
        <v>6794</v>
      </c>
      <c r="N633" s="47" t="s">
        <v>1777</v>
      </c>
      <c r="O633"/>
      <c r="P633"/>
    </row>
    <row r="634" spans="1:16" s="5" customFormat="1">
      <c r="A634" s="67" t="s">
        <v>434</v>
      </c>
      <c r="B634" s="67" t="s">
        <v>1813</v>
      </c>
      <c r="C634" s="108">
        <v>946</v>
      </c>
      <c r="D634" s="108">
        <v>918</v>
      </c>
      <c r="E634" s="108">
        <v>809</v>
      </c>
      <c r="F634" s="108">
        <v>239</v>
      </c>
      <c r="G634" s="108">
        <v>933</v>
      </c>
      <c r="H634" s="108">
        <v>492</v>
      </c>
      <c r="I634" s="92"/>
      <c r="J634" s="51">
        <f t="shared" si="45"/>
        <v>5.6760000000000002</v>
      </c>
      <c r="K634" s="50">
        <v>6</v>
      </c>
      <c r="L634" s="49">
        <f t="shared" si="46"/>
        <v>0.94599999999999995</v>
      </c>
      <c r="M634" s="48">
        <f t="shared" si="47"/>
        <v>946</v>
      </c>
      <c r="N634" s="52" t="s">
        <v>2018</v>
      </c>
      <c r="O634"/>
      <c r="P634"/>
    </row>
    <row r="635" spans="1:16" s="5" customFormat="1">
      <c r="A635" s="67" t="s">
        <v>434</v>
      </c>
      <c r="B635" s="67" t="s">
        <v>1880</v>
      </c>
      <c r="C635" s="108">
        <v>495</v>
      </c>
      <c r="D635" s="108">
        <v>491</v>
      </c>
      <c r="E635" s="108">
        <v>399</v>
      </c>
      <c r="F635" s="108">
        <v>104</v>
      </c>
      <c r="G635" s="108">
        <v>481</v>
      </c>
      <c r="H635" s="108">
        <v>235</v>
      </c>
      <c r="I635" s="92"/>
      <c r="J635" s="51">
        <f t="shared" si="45"/>
        <v>2.9699999999999998</v>
      </c>
      <c r="K635" s="50">
        <v>6</v>
      </c>
      <c r="L635" s="49">
        <f t="shared" si="46"/>
        <v>0.495</v>
      </c>
      <c r="M635" s="48">
        <f t="shared" si="47"/>
        <v>495</v>
      </c>
      <c r="N635" s="52" t="s">
        <v>2017</v>
      </c>
      <c r="O635"/>
      <c r="P635"/>
    </row>
    <row r="636" spans="1:16" s="5" customFormat="1">
      <c r="A636" s="67" t="s">
        <v>434</v>
      </c>
      <c r="B636" s="67" t="s">
        <v>1911</v>
      </c>
      <c r="C636" s="108">
        <v>683</v>
      </c>
      <c r="D636" s="108">
        <v>671</v>
      </c>
      <c r="E636" s="108">
        <v>579</v>
      </c>
      <c r="F636" s="108">
        <v>173</v>
      </c>
      <c r="G636" s="108">
        <v>679</v>
      </c>
      <c r="H636" s="108">
        <v>409</v>
      </c>
      <c r="I636" s="92"/>
      <c r="J636" s="51">
        <f t="shared" si="45"/>
        <v>4.0980000000000008</v>
      </c>
      <c r="K636" s="50">
        <v>6</v>
      </c>
      <c r="L636" s="49">
        <f t="shared" si="46"/>
        <v>0.68300000000000005</v>
      </c>
      <c r="M636" s="48">
        <f t="shared" si="47"/>
        <v>683</v>
      </c>
      <c r="N636" s="52" t="s">
        <v>2016</v>
      </c>
      <c r="O636"/>
      <c r="P636"/>
    </row>
    <row r="637" spans="1:16" s="5" customFormat="1">
      <c r="A637" s="72" t="s">
        <v>190</v>
      </c>
      <c r="B637" s="73" t="s">
        <v>2062</v>
      </c>
      <c r="C637" s="110">
        <v>3101</v>
      </c>
      <c r="D637" s="110">
        <v>2986</v>
      </c>
      <c r="E637" s="110">
        <v>2473</v>
      </c>
      <c r="F637" s="110">
        <v>3048</v>
      </c>
      <c r="G637" s="110">
        <v>667</v>
      </c>
      <c r="H637" s="110">
        <v>1676</v>
      </c>
      <c r="I637" s="111"/>
      <c r="J637" s="10">
        <f t="shared" si="45"/>
        <v>18.606000000000002</v>
      </c>
      <c r="K637" s="11">
        <v>6</v>
      </c>
      <c r="L637" s="12">
        <f t="shared" si="46"/>
        <v>3.101</v>
      </c>
      <c r="M637" s="13">
        <f t="shared" si="47"/>
        <v>3101</v>
      </c>
      <c r="N637" s="29" t="s">
        <v>261</v>
      </c>
      <c r="O637"/>
      <c r="P637"/>
    </row>
    <row r="638" spans="1:16" s="5" customFormat="1">
      <c r="A638" s="72" t="s">
        <v>190</v>
      </c>
      <c r="B638" s="73" t="s">
        <v>2063</v>
      </c>
      <c r="C638" s="110">
        <v>2677</v>
      </c>
      <c r="D638" s="110">
        <v>2600</v>
      </c>
      <c r="E638" s="110">
        <v>2235</v>
      </c>
      <c r="F638" s="110">
        <v>2630</v>
      </c>
      <c r="G638" s="110">
        <v>724</v>
      </c>
      <c r="H638" s="110">
        <v>1634</v>
      </c>
      <c r="I638" s="111"/>
      <c r="J638" s="10">
        <f t="shared" si="45"/>
        <v>16.062000000000001</v>
      </c>
      <c r="K638" s="11">
        <v>6</v>
      </c>
      <c r="L638" s="12">
        <f t="shared" si="46"/>
        <v>2.677</v>
      </c>
      <c r="M638" s="13">
        <f t="shared" si="47"/>
        <v>2677</v>
      </c>
      <c r="N638" s="16" t="s">
        <v>269</v>
      </c>
      <c r="O638"/>
      <c r="P638"/>
    </row>
    <row r="639" spans="1:16" s="3" customFormat="1">
      <c r="A639" s="72" t="s">
        <v>190</v>
      </c>
      <c r="B639" s="73" t="s">
        <v>923</v>
      </c>
      <c r="C639" s="110">
        <v>3691</v>
      </c>
      <c r="D639" s="110">
        <v>3590</v>
      </c>
      <c r="E639" s="110">
        <v>3151</v>
      </c>
      <c r="F639" s="110">
        <v>3614</v>
      </c>
      <c r="G639" s="110">
        <v>971</v>
      </c>
      <c r="H639" s="110">
        <v>2298</v>
      </c>
      <c r="I639" s="111"/>
      <c r="J639" s="10">
        <f t="shared" si="45"/>
        <v>22.146000000000001</v>
      </c>
      <c r="K639" s="11">
        <v>6</v>
      </c>
      <c r="L639" s="12">
        <f t="shared" si="46"/>
        <v>3.6909999999999998</v>
      </c>
      <c r="M639" s="13">
        <f t="shared" si="47"/>
        <v>3691</v>
      </c>
      <c r="N639" s="27" t="s">
        <v>924</v>
      </c>
      <c r="O639"/>
      <c r="P639"/>
    </row>
    <row r="640" spans="1:16" s="3" customFormat="1">
      <c r="A640" s="72" t="s">
        <v>190</v>
      </c>
      <c r="B640" s="73" t="s">
        <v>984</v>
      </c>
      <c r="C640" s="110">
        <v>4877</v>
      </c>
      <c r="D640" s="110">
        <v>4717</v>
      </c>
      <c r="E640" s="110">
        <v>4053</v>
      </c>
      <c r="F640" s="110">
        <v>4778</v>
      </c>
      <c r="G640" s="110">
        <v>1193</v>
      </c>
      <c r="H640" s="110">
        <v>2792</v>
      </c>
      <c r="I640" s="111"/>
      <c r="J640" s="10">
        <f t="shared" si="45"/>
        <v>29.262</v>
      </c>
      <c r="K640" s="11">
        <v>6</v>
      </c>
      <c r="L640" s="12">
        <f t="shared" si="46"/>
        <v>4.8769999999999998</v>
      </c>
      <c r="M640" s="13">
        <f t="shared" si="47"/>
        <v>4877</v>
      </c>
      <c r="N640" s="27" t="s">
        <v>985</v>
      </c>
      <c r="O640"/>
      <c r="P640"/>
    </row>
    <row r="641" spans="1:16" s="5" customFormat="1" ht="12">
      <c r="A641" s="40" t="s">
        <v>268</v>
      </c>
      <c r="B641" s="40" t="s">
        <v>1453</v>
      </c>
      <c r="C641" s="97">
        <v>2716</v>
      </c>
      <c r="D641" s="97">
        <v>2643</v>
      </c>
      <c r="E641" s="97">
        <v>2272</v>
      </c>
      <c r="F641" s="97">
        <v>752</v>
      </c>
      <c r="G641" s="97">
        <v>2664</v>
      </c>
      <c r="H641" s="97">
        <v>1643</v>
      </c>
      <c r="I641" s="98"/>
      <c r="J641" s="10">
        <f t="shared" si="45"/>
        <v>16.295999999999999</v>
      </c>
      <c r="K641" s="11">
        <v>6</v>
      </c>
      <c r="L641" s="12">
        <f t="shared" si="46"/>
        <v>2.7160000000000002</v>
      </c>
      <c r="M641" s="13">
        <f t="shared" si="47"/>
        <v>2716</v>
      </c>
      <c r="N641" s="16" t="s">
        <v>1454</v>
      </c>
    </row>
    <row r="642" spans="1:16" s="5" customFormat="1" ht="12">
      <c r="A642" s="40" t="s">
        <v>268</v>
      </c>
      <c r="B642" s="40" t="s">
        <v>268</v>
      </c>
      <c r="C642" s="97">
        <v>43166</v>
      </c>
      <c r="D642" s="97">
        <v>42985</v>
      </c>
      <c r="E642" s="97">
        <v>37789</v>
      </c>
      <c r="F642" s="97">
        <v>13368</v>
      </c>
      <c r="G642" s="97">
        <v>42833</v>
      </c>
      <c r="H642" s="97">
        <v>29368</v>
      </c>
      <c r="I642" s="98"/>
      <c r="J642" s="10">
        <f t="shared" si="45"/>
        <v>86.331999999999994</v>
      </c>
      <c r="K642" s="11">
        <v>2</v>
      </c>
      <c r="L642" s="12">
        <f t="shared" si="46"/>
        <v>43.165999999999997</v>
      </c>
      <c r="M642" s="13">
        <f t="shared" si="47"/>
        <v>43166</v>
      </c>
      <c r="N642" s="16" t="s">
        <v>1842</v>
      </c>
    </row>
    <row r="643" spans="1:16" s="5" customFormat="1" ht="12">
      <c r="A643" s="67" t="s">
        <v>185</v>
      </c>
      <c r="B643" s="67" t="s">
        <v>186</v>
      </c>
      <c r="C643" s="108">
        <v>371</v>
      </c>
      <c r="D643" s="108">
        <v>362</v>
      </c>
      <c r="E643" s="108">
        <v>310</v>
      </c>
      <c r="F643" s="108">
        <v>120</v>
      </c>
      <c r="G643" s="108">
        <v>361</v>
      </c>
      <c r="H643" s="108">
        <v>246</v>
      </c>
      <c r="I643" s="92"/>
      <c r="J643" s="51">
        <f t="shared" si="45"/>
        <v>2.226</v>
      </c>
      <c r="K643" s="50">
        <v>6</v>
      </c>
      <c r="L643" s="49">
        <f t="shared" si="46"/>
        <v>0.371</v>
      </c>
      <c r="M643" s="48">
        <f t="shared" si="47"/>
        <v>371</v>
      </c>
      <c r="N643" s="52" t="s">
        <v>2049</v>
      </c>
    </row>
    <row r="644" spans="1:16" s="5" customFormat="1" ht="12">
      <c r="A644" s="67" t="s">
        <v>185</v>
      </c>
      <c r="B644" s="67" t="s">
        <v>354</v>
      </c>
      <c r="C644" s="108">
        <v>1003</v>
      </c>
      <c r="D644" s="108">
        <v>977</v>
      </c>
      <c r="E644" s="108">
        <v>860</v>
      </c>
      <c r="F644" s="108">
        <v>338</v>
      </c>
      <c r="G644" s="108">
        <v>994</v>
      </c>
      <c r="H644" s="108">
        <v>731</v>
      </c>
      <c r="I644" s="92"/>
      <c r="J644" s="51">
        <f t="shared" si="45"/>
        <v>6.0179999999999989</v>
      </c>
      <c r="K644" s="50">
        <v>6</v>
      </c>
      <c r="L644" s="49">
        <f t="shared" si="46"/>
        <v>1.0029999999999999</v>
      </c>
      <c r="M644" s="48">
        <f t="shared" si="47"/>
        <v>1003</v>
      </c>
      <c r="N644" s="52" t="s">
        <v>2048</v>
      </c>
    </row>
    <row r="645" spans="1:16" s="5" customFormat="1">
      <c r="A645" s="67" t="s">
        <v>185</v>
      </c>
      <c r="B645" s="67" t="s">
        <v>1073</v>
      </c>
      <c r="C645" s="108">
        <v>482</v>
      </c>
      <c r="D645" s="108">
        <v>476</v>
      </c>
      <c r="E645" s="108">
        <v>404</v>
      </c>
      <c r="F645" s="108">
        <v>106</v>
      </c>
      <c r="G645" s="108">
        <v>467</v>
      </c>
      <c r="H645" s="108">
        <v>242</v>
      </c>
      <c r="I645" s="92"/>
      <c r="J645" s="51">
        <f t="shared" si="45"/>
        <v>2.8919999999999999</v>
      </c>
      <c r="K645" s="50">
        <v>6</v>
      </c>
      <c r="L645" s="49">
        <f t="shared" si="46"/>
        <v>0.48199999999999998</v>
      </c>
      <c r="M645" s="48">
        <f t="shared" si="47"/>
        <v>482</v>
      </c>
      <c r="N645" s="52" t="s">
        <v>2047</v>
      </c>
      <c r="O645"/>
      <c r="P645"/>
    </row>
    <row r="646" spans="1:16" s="5" customFormat="1">
      <c r="A646" s="67" t="s">
        <v>185</v>
      </c>
      <c r="B646" s="67" t="s">
        <v>1131</v>
      </c>
      <c r="C646" s="108">
        <v>511</v>
      </c>
      <c r="D646" s="108">
        <v>507</v>
      </c>
      <c r="E646" s="108">
        <v>431</v>
      </c>
      <c r="F646" s="108">
        <v>163</v>
      </c>
      <c r="G646" s="108">
        <v>511</v>
      </c>
      <c r="H646" s="108">
        <v>331</v>
      </c>
      <c r="I646" s="92"/>
      <c r="J646" s="51">
        <f t="shared" si="45"/>
        <v>3.0659999999999998</v>
      </c>
      <c r="K646" s="50">
        <v>6</v>
      </c>
      <c r="L646" s="49">
        <f t="shared" si="46"/>
        <v>0.51100000000000001</v>
      </c>
      <c r="M646" s="48">
        <f t="shared" si="47"/>
        <v>511</v>
      </c>
      <c r="N646" s="52" t="s">
        <v>2046</v>
      </c>
      <c r="O646"/>
      <c r="P646"/>
    </row>
    <row r="647" spans="1:16" s="5" customFormat="1">
      <c r="A647" s="67" t="s">
        <v>185</v>
      </c>
      <c r="B647" s="67" t="s">
        <v>1178</v>
      </c>
      <c r="C647" s="108">
        <v>1024</v>
      </c>
      <c r="D647" s="108">
        <v>1002</v>
      </c>
      <c r="E647" s="108">
        <v>837</v>
      </c>
      <c r="F647" s="108">
        <v>259</v>
      </c>
      <c r="G647" s="108">
        <v>1004</v>
      </c>
      <c r="H647" s="108">
        <v>615</v>
      </c>
      <c r="I647" s="92"/>
      <c r="J647" s="51">
        <f t="shared" ref="J647:J678" si="48">+K647*L647</f>
        <v>6.1440000000000001</v>
      </c>
      <c r="K647" s="50">
        <v>6</v>
      </c>
      <c r="L647" s="49">
        <f t="shared" ref="L647:L678" si="49">+M647/1000</f>
        <v>1.024</v>
      </c>
      <c r="M647" s="48">
        <f t="shared" ref="M647:M678" si="50">+C647</f>
        <v>1024</v>
      </c>
      <c r="N647" s="52" t="s">
        <v>2045</v>
      </c>
      <c r="O647"/>
      <c r="P647"/>
    </row>
    <row r="648" spans="1:16" s="5" customFormat="1">
      <c r="A648" s="67" t="s">
        <v>185</v>
      </c>
      <c r="B648" s="67" t="s">
        <v>1319</v>
      </c>
      <c r="C648" s="108">
        <v>418</v>
      </c>
      <c r="D648" s="108">
        <v>405</v>
      </c>
      <c r="E648" s="108">
        <v>316</v>
      </c>
      <c r="F648" s="108">
        <v>91</v>
      </c>
      <c r="G648" s="108">
        <v>404</v>
      </c>
      <c r="H648" s="108">
        <v>176</v>
      </c>
      <c r="I648" s="92"/>
      <c r="J648" s="51">
        <f t="shared" si="48"/>
        <v>2.508</v>
      </c>
      <c r="K648" s="50">
        <v>6</v>
      </c>
      <c r="L648" s="49">
        <f t="shared" si="49"/>
        <v>0.41799999999999998</v>
      </c>
      <c r="M648" s="48">
        <f t="shared" si="50"/>
        <v>418</v>
      </c>
      <c r="N648" s="52" t="s">
        <v>2044</v>
      </c>
      <c r="O648"/>
      <c r="P648"/>
    </row>
    <row r="649" spans="1:16" s="5" customFormat="1">
      <c r="A649" s="71" t="s">
        <v>185</v>
      </c>
      <c r="B649" s="71" t="s">
        <v>1320</v>
      </c>
      <c r="C649" s="108">
        <v>1443</v>
      </c>
      <c r="D649" s="108">
        <v>1415</v>
      </c>
      <c r="E649" s="108">
        <v>1183</v>
      </c>
      <c r="F649" s="108">
        <v>308</v>
      </c>
      <c r="G649" s="108">
        <v>1422</v>
      </c>
      <c r="H649" s="108">
        <v>772</v>
      </c>
      <c r="I649" s="92"/>
      <c r="J649" s="51">
        <f t="shared" si="48"/>
        <v>8.6580000000000013</v>
      </c>
      <c r="K649" s="50">
        <v>6</v>
      </c>
      <c r="L649" s="49">
        <f t="shared" si="49"/>
        <v>1.4430000000000001</v>
      </c>
      <c r="M649" s="48">
        <f t="shared" si="50"/>
        <v>1443</v>
      </c>
      <c r="N649" s="47" t="s">
        <v>1321</v>
      </c>
      <c r="O649"/>
      <c r="P649"/>
    </row>
    <row r="650" spans="1:16">
      <c r="A650" s="75" t="s">
        <v>185</v>
      </c>
      <c r="B650" s="75" t="s">
        <v>1365</v>
      </c>
      <c r="C650" s="112">
        <v>502</v>
      </c>
      <c r="D650" s="112">
        <v>494</v>
      </c>
      <c r="E650" s="112">
        <v>397</v>
      </c>
      <c r="F650" s="112">
        <v>96</v>
      </c>
      <c r="G650" s="112">
        <v>491</v>
      </c>
      <c r="H650" s="112">
        <v>232</v>
      </c>
      <c r="I650" s="113"/>
      <c r="J650" s="80">
        <f t="shared" si="48"/>
        <v>3.012</v>
      </c>
      <c r="K650" s="79">
        <v>6</v>
      </c>
      <c r="L650" s="78">
        <f t="shared" si="49"/>
        <v>0.502</v>
      </c>
      <c r="M650" s="77">
        <f t="shared" si="50"/>
        <v>502</v>
      </c>
      <c r="N650" s="84" t="s">
        <v>2043</v>
      </c>
    </row>
    <row r="651" spans="1:16" s="5" customFormat="1">
      <c r="A651" s="67" t="s">
        <v>185</v>
      </c>
      <c r="B651" s="67" t="s">
        <v>1445</v>
      </c>
      <c r="C651" s="108">
        <v>300</v>
      </c>
      <c r="D651" s="108">
        <v>292</v>
      </c>
      <c r="E651" s="108">
        <v>219</v>
      </c>
      <c r="F651" s="108">
        <v>74</v>
      </c>
      <c r="G651" s="108">
        <v>292</v>
      </c>
      <c r="H651" s="108">
        <v>144</v>
      </c>
      <c r="I651" s="92"/>
      <c r="J651" s="51">
        <f t="shared" si="48"/>
        <v>1.7999999999999998</v>
      </c>
      <c r="K651" s="50">
        <v>6</v>
      </c>
      <c r="L651" s="49">
        <f t="shared" si="49"/>
        <v>0.3</v>
      </c>
      <c r="M651" s="48">
        <f t="shared" si="50"/>
        <v>300</v>
      </c>
      <c r="N651" s="52" t="s">
        <v>2042</v>
      </c>
      <c r="O651"/>
      <c r="P651"/>
    </row>
    <row r="652" spans="1:16" s="5" customFormat="1">
      <c r="A652" s="67" t="s">
        <v>185</v>
      </c>
      <c r="B652" s="67" t="s">
        <v>1497</v>
      </c>
      <c r="C652" s="108">
        <v>596</v>
      </c>
      <c r="D652" s="108">
        <v>581</v>
      </c>
      <c r="E652" s="108">
        <v>481</v>
      </c>
      <c r="F652" s="108">
        <v>150</v>
      </c>
      <c r="G652" s="108">
        <v>588</v>
      </c>
      <c r="H652" s="108">
        <v>296</v>
      </c>
      <c r="I652" s="92"/>
      <c r="J652" s="51">
        <f t="shared" si="48"/>
        <v>3.5759999999999996</v>
      </c>
      <c r="K652" s="50">
        <v>6</v>
      </c>
      <c r="L652" s="49">
        <f t="shared" si="49"/>
        <v>0.59599999999999997</v>
      </c>
      <c r="M652" s="48">
        <f t="shared" si="50"/>
        <v>596</v>
      </c>
      <c r="N652" s="52" t="s">
        <v>2041</v>
      </c>
      <c r="O652"/>
      <c r="P652"/>
    </row>
    <row r="653" spans="1:16" s="5" customFormat="1">
      <c r="A653" s="67" t="s">
        <v>185</v>
      </c>
      <c r="B653" s="67" t="s">
        <v>1722</v>
      </c>
      <c r="C653" s="108">
        <v>358</v>
      </c>
      <c r="D653" s="108">
        <v>356</v>
      </c>
      <c r="E653" s="108">
        <v>312</v>
      </c>
      <c r="F653" s="108">
        <v>111</v>
      </c>
      <c r="G653" s="108">
        <v>355</v>
      </c>
      <c r="H653" s="108">
        <v>207</v>
      </c>
      <c r="I653" s="92"/>
      <c r="J653" s="51">
        <f t="shared" si="48"/>
        <v>2.1479999999999997</v>
      </c>
      <c r="K653" s="50">
        <v>6</v>
      </c>
      <c r="L653" s="49">
        <f t="shared" si="49"/>
        <v>0.35799999999999998</v>
      </c>
      <c r="M653" s="48">
        <f t="shared" si="50"/>
        <v>358</v>
      </c>
      <c r="N653" s="54" t="s">
        <v>2040</v>
      </c>
      <c r="O653"/>
      <c r="P653"/>
    </row>
    <row r="654" spans="1:16" s="5" customFormat="1">
      <c r="A654" s="67" t="s">
        <v>185</v>
      </c>
      <c r="B654" s="67" t="s">
        <v>1787</v>
      </c>
      <c r="C654" s="108">
        <v>690</v>
      </c>
      <c r="D654" s="108">
        <v>668</v>
      </c>
      <c r="E654" s="108">
        <v>519</v>
      </c>
      <c r="F654" s="108">
        <v>171</v>
      </c>
      <c r="G654" s="108">
        <v>675</v>
      </c>
      <c r="H654" s="108">
        <v>360</v>
      </c>
      <c r="I654" s="92"/>
      <c r="J654" s="51">
        <f t="shared" si="48"/>
        <v>4.1399999999999997</v>
      </c>
      <c r="K654" s="50">
        <v>6</v>
      </c>
      <c r="L654" s="49">
        <f t="shared" si="49"/>
        <v>0.69</v>
      </c>
      <c r="M654" s="48">
        <f t="shared" si="50"/>
        <v>690</v>
      </c>
      <c r="N654" s="52" t="s">
        <v>2039</v>
      </c>
      <c r="O654"/>
      <c r="P654"/>
    </row>
    <row r="655" spans="1:16" s="5" customFormat="1">
      <c r="A655" s="71" t="s">
        <v>185</v>
      </c>
      <c r="B655" s="71" t="s">
        <v>185</v>
      </c>
      <c r="C655" s="108">
        <v>16136</v>
      </c>
      <c r="D655" s="108">
        <v>16073</v>
      </c>
      <c r="E655" s="108">
        <v>14398</v>
      </c>
      <c r="F655" s="108">
        <v>5034</v>
      </c>
      <c r="G655" s="108">
        <v>16004</v>
      </c>
      <c r="H655" s="108">
        <v>10625</v>
      </c>
      <c r="I655" s="92"/>
      <c r="J655" s="51">
        <f t="shared" si="48"/>
        <v>80.679999999999993</v>
      </c>
      <c r="K655" s="50">
        <v>5</v>
      </c>
      <c r="L655" s="49">
        <f t="shared" si="49"/>
        <v>16.135999999999999</v>
      </c>
      <c r="M655" s="48">
        <f t="shared" si="50"/>
        <v>16136</v>
      </c>
      <c r="N655" s="47" t="s">
        <v>1849</v>
      </c>
      <c r="O655"/>
      <c r="P655"/>
    </row>
    <row r="656" spans="1:16" s="5" customFormat="1">
      <c r="A656" s="67" t="s">
        <v>185</v>
      </c>
      <c r="B656" s="67" t="s">
        <v>1916</v>
      </c>
      <c r="C656" s="108">
        <v>367</v>
      </c>
      <c r="D656" s="108">
        <v>361</v>
      </c>
      <c r="E656" s="108">
        <v>304</v>
      </c>
      <c r="F656" s="108">
        <v>116</v>
      </c>
      <c r="G656" s="108">
        <v>363</v>
      </c>
      <c r="H656" s="108">
        <v>254</v>
      </c>
      <c r="I656" s="92"/>
      <c r="J656" s="51">
        <f t="shared" si="48"/>
        <v>2.202</v>
      </c>
      <c r="K656" s="50">
        <v>6</v>
      </c>
      <c r="L656" s="49">
        <f t="shared" si="49"/>
        <v>0.36699999999999999</v>
      </c>
      <c r="M656" s="48">
        <f t="shared" si="50"/>
        <v>367</v>
      </c>
      <c r="N656" s="52" t="s">
        <v>2038</v>
      </c>
      <c r="O656"/>
      <c r="P656"/>
    </row>
    <row r="657" spans="1:14" s="5" customFormat="1" ht="12">
      <c r="A657" s="40" t="s">
        <v>21</v>
      </c>
      <c r="B657" s="40" t="s">
        <v>22</v>
      </c>
      <c r="C657" s="97">
        <v>652</v>
      </c>
      <c r="D657" s="97">
        <v>638</v>
      </c>
      <c r="E657" s="97">
        <v>509</v>
      </c>
      <c r="F657" s="97">
        <v>159</v>
      </c>
      <c r="G657" s="97">
        <v>634</v>
      </c>
      <c r="H657" s="97">
        <v>360</v>
      </c>
      <c r="I657" s="98"/>
      <c r="J657" s="10">
        <f t="shared" si="48"/>
        <v>3.9119999999999999</v>
      </c>
      <c r="K657" s="11">
        <v>6</v>
      </c>
      <c r="L657" s="12">
        <f t="shared" si="49"/>
        <v>0.65200000000000002</v>
      </c>
      <c r="M657" s="13">
        <f t="shared" si="50"/>
        <v>652</v>
      </c>
      <c r="N657" s="14" t="s">
        <v>23</v>
      </c>
    </row>
    <row r="658" spans="1:14" s="5" customFormat="1" ht="12">
      <c r="A658" s="40" t="s">
        <v>21</v>
      </c>
      <c r="B658" s="40" t="s">
        <v>30</v>
      </c>
      <c r="C658" s="97">
        <v>523</v>
      </c>
      <c r="D658" s="97">
        <v>506</v>
      </c>
      <c r="E658" s="97">
        <v>427</v>
      </c>
      <c r="F658" s="97">
        <v>119</v>
      </c>
      <c r="G658" s="97">
        <v>512</v>
      </c>
      <c r="H658" s="97">
        <v>271</v>
      </c>
      <c r="I658" s="98"/>
      <c r="J658" s="10">
        <f t="shared" si="48"/>
        <v>3.1379999999999999</v>
      </c>
      <c r="K658" s="11">
        <v>6</v>
      </c>
      <c r="L658" s="12">
        <f t="shared" si="49"/>
        <v>0.52300000000000002</v>
      </c>
      <c r="M658" s="13">
        <f t="shared" si="50"/>
        <v>523</v>
      </c>
      <c r="N658" s="14" t="s">
        <v>31</v>
      </c>
    </row>
    <row r="659" spans="1:14" s="5" customFormat="1" ht="12">
      <c r="A659" s="40" t="s">
        <v>21</v>
      </c>
      <c r="B659" s="40" t="s">
        <v>76</v>
      </c>
      <c r="C659" s="97">
        <v>414</v>
      </c>
      <c r="D659" s="97">
        <v>398</v>
      </c>
      <c r="E659" s="97">
        <v>340</v>
      </c>
      <c r="F659" s="97">
        <v>160</v>
      </c>
      <c r="G659" s="97">
        <v>399</v>
      </c>
      <c r="H659" s="97">
        <v>299</v>
      </c>
      <c r="I659" s="98"/>
      <c r="J659" s="10">
        <f t="shared" si="48"/>
        <v>2.484</v>
      </c>
      <c r="K659" s="11">
        <v>6</v>
      </c>
      <c r="L659" s="12">
        <f t="shared" si="49"/>
        <v>0.41399999999999998</v>
      </c>
      <c r="M659" s="13">
        <f t="shared" si="50"/>
        <v>414</v>
      </c>
      <c r="N659" s="14" t="s">
        <v>77</v>
      </c>
    </row>
    <row r="660" spans="1:14" s="5" customFormat="1" ht="12">
      <c r="A660" s="40" t="s">
        <v>21</v>
      </c>
      <c r="B660" s="40" t="s">
        <v>88</v>
      </c>
      <c r="C660" s="97">
        <v>387</v>
      </c>
      <c r="D660" s="97">
        <v>379</v>
      </c>
      <c r="E660" s="97">
        <v>271</v>
      </c>
      <c r="F660" s="97">
        <v>92</v>
      </c>
      <c r="G660" s="97">
        <v>381</v>
      </c>
      <c r="H660" s="97">
        <v>196</v>
      </c>
      <c r="I660" s="98"/>
      <c r="J660" s="10">
        <f t="shared" si="48"/>
        <v>2.3220000000000001</v>
      </c>
      <c r="K660" s="11">
        <v>6</v>
      </c>
      <c r="L660" s="12">
        <f t="shared" si="49"/>
        <v>0.38700000000000001</v>
      </c>
      <c r="M660" s="13">
        <f t="shared" si="50"/>
        <v>387</v>
      </c>
      <c r="N660" s="14" t="s">
        <v>89</v>
      </c>
    </row>
    <row r="661" spans="1:14" s="5" customFormat="1" ht="12">
      <c r="A661" s="40" t="s">
        <v>21</v>
      </c>
      <c r="B661" s="40" t="s">
        <v>1964</v>
      </c>
      <c r="C661" s="97">
        <v>1808</v>
      </c>
      <c r="D661" s="97">
        <v>1778</v>
      </c>
      <c r="E661" s="97">
        <v>1498</v>
      </c>
      <c r="F661" s="97">
        <v>486</v>
      </c>
      <c r="G661" s="97">
        <v>1778</v>
      </c>
      <c r="H661" s="97">
        <v>1039</v>
      </c>
      <c r="I661" s="98"/>
      <c r="J661" s="10">
        <f t="shared" si="48"/>
        <v>10.848000000000001</v>
      </c>
      <c r="K661" s="11">
        <v>6</v>
      </c>
      <c r="L661" s="12">
        <f t="shared" si="49"/>
        <v>1.8080000000000001</v>
      </c>
      <c r="M661" s="13">
        <f t="shared" si="50"/>
        <v>1808</v>
      </c>
      <c r="N661" s="14" t="s">
        <v>90</v>
      </c>
    </row>
    <row r="662" spans="1:14" s="5" customFormat="1" ht="12">
      <c r="A662" s="40" t="s">
        <v>21</v>
      </c>
      <c r="B662" s="40" t="s">
        <v>91</v>
      </c>
      <c r="C662" s="97">
        <v>1137</v>
      </c>
      <c r="D662" s="97">
        <v>1122</v>
      </c>
      <c r="E662" s="97">
        <v>867</v>
      </c>
      <c r="F662" s="97">
        <v>235</v>
      </c>
      <c r="G662" s="97">
        <v>1104</v>
      </c>
      <c r="H662" s="97">
        <v>562</v>
      </c>
      <c r="I662" s="98"/>
      <c r="J662" s="10">
        <f t="shared" si="48"/>
        <v>6.8220000000000001</v>
      </c>
      <c r="K662" s="11">
        <v>6</v>
      </c>
      <c r="L662" s="12">
        <f t="shared" si="49"/>
        <v>1.137</v>
      </c>
      <c r="M662" s="13">
        <f t="shared" si="50"/>
        <v>1137</v>
      </c>
      <c r="N662" s="21" t="s">
        <v>92</v>
      </c>
    </row>
    <row r="663" spans="1:14" s="5" customFormat="1" ht="12">
      <c r="A663" s="40" t="s">
        <v>21</v>
      </c>
      <c r="B663" s="40" t="s">
        <v>120</v>
      </c>
      <c r="C663" s="97">
        <v>1991</v>
      </c>
      <c r="D663" s="97">
        <v>1951</v>
      </c>
      <c r="E663" s="97">
        <v>1690</v>
      </c>
      <c r="F663" s="97">
        <v>581</v>
      </c>
      <c r="G663" s="97">
        <v>1965</v>
      </c>
      <c r="H663" s="97">
        <v>1283</v>
      </c>
      <c r="I663" s="98"/>
      <c r="J663" s="10">
        <f t="shared" si="48"/>
        <v>11.946000000000002</v>
      </c>
      <c r="K663" s="11">
        <v>6</v>
      </c>
      <c r="L663" s="12">
        <f t="shared" si="49"/>
        <v>1.9910000000000001</v>
      </c>
      <c r="M663" s="13">
        <f t="shared" si="50"/>
        <v>1991</v>
      </c>
      <c r="N663" s="16" t="s">
        <v>121</v>
      </c>
    </row>
    <row r="664" spans="1:14" s="5" customFormat="1" ht="12">
      <c r="A664" s="40" t="s">
        <v>21</v>
      </c>
      <c r="B664" s="40" t="s">
        <v>178</v>
      </c>
      <c r="C664" s="97">
        <v>1327</v>
      </c>
      <c r="D664" s="97">
        <v>1299</v>
      </c>
      <c r="E664" s="97">
        <v>1016</v>
      </c>
      <c r="F664" s="97">
        <v>344</v>
      </c>
      <c r="G664" s="97">
        <v>1285</v>
      </c>
      <c r="H664" s="97">
        <v>737</v>
      </c>
      <c r="I664" s="98"/>
      <c r="J664" s="10">
        <f t="shared" si="48"/>
        <v>7.9619999999999997</v>
      </c>
      <c r="K664" s="11">
        <v>6</v>
      </c>
      <c r="L664" s="12">
        <f t="shared" si="49"/>
        <v>1.327</v>
      </c>
      <c r="M664" s="13">
        <f t="shared" si="50"/>
        <v>1327</v>
      </c>
      <c r="N664" s="16" t="s">
        <v>179</v>
      </c>
    </row>
    <row r="665" spans="1:14" s="5" customFormat="1" ht="12">
      <c r="A665" s="40" t="s">
        <v>21</v>
      </c>
      <c r="B665" s="40" t="s">
        <v>257</v>
      </c>
      <c r="C665" s="97">
        <v>1795</v>
      </c>
      <c r="D665" s="97">
        <v>1765</v>
      </c>
      <c r="E665" s="97">
        <v>1484</v>
      </c>
      <c r="F665" s="97">
        <v>461</v>
      </c>
      <c r="G665" s="97">
        <v>1757</v>
      </c>
      <c r="H665" s="97">
        <v>1105</v>
      </c>
      <c r="I665" s="98"/>
      <c r="J665" s="10">
        <f t="shared" si="48"/>
        <v>10.77</v>
      </c>
      <c r="K665" s="11">
        <v>6</v>
      </c>
      <c r="L665" s="12">
        <f t="shared" si="49"/>
        <v>1.7949999999999999</v>
      </c>
      <c r="M665" s="13">
        <f t="shared" si="50"/>
        <v>1795</v>
      </c>
      <c r="N665" s="16" t="s">
        <v>258</v>
      </c>
    </row>
    <row r="666" spans="1:14" s="5" customFormat="1" ht="12">
      <c r="A666" s="40" t="s">
        <v>21</v>
      </c>
      <c r="B666" s="40" t="s">
        <v>298</v>
      </c>
      <c r="C666" s="97">
        <v>1342</v>
      </c>
      <c r="D666" s="97">
        <v>1326</v>
      </c>
      <c r="E666" s="97">
        <v>1121</v>
      </c>
      <c r="F666" s="97">
        <v>317</v>
      </c>
      <c r="G666" s="97">
        <v>1299</v>
      </c>
      <c r="H666" s="97">
        <v>704</v>
      </c>
      <c r="I666" s="98"/>
      <c r="J666" s="10">
        <f t="shared" si="48"/>
        <v>8.0519999999999996</v>
      </c>
      <c r="K666" s="11">
        <v>6</v>
      </c>
      <c r="L666" s="12">
        <f t="shared" si="49"/>
        <v>1.3420000000000001</v>
      </c>
      <c r="M666" s="13">
        <f t="shared" si="50"/>
        <v>1342</v>
      </c>
      <c r="N666" s="16" t="s">
        <v>299</v>
      </c>
    </row>
    <row r="667" spans="1:14" s="5" customFormat="1" ht="12">
      <c r="A667" s="40" t="s">
        <v>21</v>
      </c>
      <c r="B667" s="40" t="s">
        <v>334</v>
      </c>
      <c r="C667" s="97">
        <v>2400</v>
      </c>
      <c r="D667" s="97">
        <v>2371</v>
      </c>
      <c r="E667" s="97">
        <v>2005</v>
      </c>
      <c r="F667" s="97">
        <v>537</v>
      </c>
      <c r="G667" s="97">
        <v>2359</v>
      </c>
      <c r="H667" s="97">
        <v>1309</v>
      </c>
      <c r="I667" s="98"/>
      <c r="J667" s="10">
        <f t="shared" si="48"/>
        <v>14.399999999999999</v>
      </c>
      <c r="K667" s="11">
        <v>6</v>
      </c>
      <c r="L667" s="12">
        <f t="shared" si="49"/>
        <v>2.4</v>
      </c>
      <c r="M667" s="13">
        <f t="shared" si="50"/>
        <v>2400</v>
      </c>
      <c r="N667" s="16" t="s">
        <v>335</v>
      </c>
    </row>
    <row r="668" spans="1:14" s="5" customFormat="1" ht="12">
      <c r="A668" s="40" t="s">
        <v>21</v>
      </c>
      <c r="B668" s="40" t="s">
        <v>379</v>
      </c>
      <c r="C668" s="97">
        <v>1315</v>
      </c>
      <c r="D668" s="97">
        <v>1292</v>
      </c>
      <c r="E668" s="97">
        <v>1105</v>
      </c>
      <c r="F668" s="97">
        <v>371</v>
      </c>
      <c r="G668" s="97">
        <v>1265</v>
      </c>
      <c r="H668" s="97">
        <v>815</v>
      </c>
      <c r="I668" s="98"/>
      <c r="J668" s="10">
        <f t="shared" si="48"/>
        <v>7.89</v>
      </c>
      <c r="K668" s="11">
        <v>6</v>
      </c>
      <c r="L668" s="12">
        <f t="shared" si="49"/>
        <v>1.3149999999999999</v>
      </c>
      <c r="M668" s="13">
        <f t="shared" si="50"/>
        <v>1315</v>
      </c>
      <c r="N668" s="16" t="s">
        <v>380</v>
      </c>
    </row>
    <row r="669" spans="1:14" s="5" customFormat="1" ht="12">
      <c r="A669" s="40" t="s">
        <v>21</v>
      </c>
      <c r="B669" s="40" t="s">
        <v>416</v>
      </c>
      <c r="C669" s="97">
        <v>1961</v>
      </c>
      <c r="D669" s="97">
        <v>1948</v>
      </c>
      <c r="E669" s="97">
        <v>1569</v>
      </c>
      <c r="F669" s="97">
        <v>428</v>
      </c>
      <c r="G669" s="97">
        <v>1936</v>
      </c>
      <c r="H669" s="97">
        <v>1049</v>
      </c>
      <c r="I669" s="98"/>
      <c r="J669" s="10">
        <f t="shared" si="48"/>
        <v>11.766</v>
      </c>
      <c r="K669" s="11">
        <v>6</v>
      </c>
      <c r="L669" s="12">
        <f t="shared" si="49"/>
        <v>1.9610000000000001</v>
      </c>
      <c r="M669" s="13">
        <f t="shared" si="50"/>
        <v>1961</v>
      </c>
      <c r="N669" s="16" t="s">
        <v>417</v>
      </c>
    </row>
    <row r="670" spans="1:14" s="5" customFormat="1" ht="12">
      <c r="A670" s="40" t="s">
        <v>21</v>
      </c>
      <c r="B670" s="40" t="s">
        <v>425</v>
      </c>
      <c r="C670" s="97">
        <v>1748</v>
      </c>
      <c r="D670" s="97">
        <v>1725</v>
      </c>
      <c r="E670" s="97">
        <v>1512</v>
      </c>
      <c r="F670" s="97">
        <v>427</v>
      </c>
      <c r="G670" s="97">
        <v>1730</v>
      </c>
      <c r="H670" s="97">
        <v>1044</v>
      </c>
      <c r="I670" s="98"/>
      <c r="J670" s="10">
        <f t="shared" si="48"/>
        <v>10.488</v>
      </c>
      <c r="K670" s="11">
        <v>6</v>
      </c>
      <c r="L670" s="12">
        <f t="shared" si="49"/>
        <v>1.748</v>
      </c>
      <c r="M670" s="13">
        <f t="shared" si="50"/>
        <v>1748</v>
      </c>
      <c r="N670" s="16" t="s">
        <v>426</v>
      </c>
    </row>
    <row r="671" spans="1:14" s="5" customFormat="1" ht="12">
      <c r="A671" s="40" t="s">
        <v>21</v>
      </c>
      <c r="B671" s="40" t="s">
        <v>512</v>
      </c>
      <c r="C671" s="97">
        <v>20067</v>
      </c>
      <c r="D671" s="97">
        <v>20010</v>
      </c>
      <c r="E671" s="97">
        <v>17529</v>
      </c>
      <c r="F671" s="97">
        <v>6010</v>
      </c>
      <c r="G671" s="97">
        <v>19847</v>
      </c>
      <c r="H671" s="97">
        <v>12995</v>
      </c>
      <c r="I671" s="98"/>
      <c r="J671" s="10">
        <f t="shared" si="48"/>
        <v>80.268000000000001</v>
      </c>
      <c r="K671" s="11">
        <v>4</v>
      </c>
      <c r="L671" s="12">
        <f t="shared" si="49"/>
        <v>20.067</v>
      </c>
      <c r="M671" s="13">
        <f t="shared" si="50"/>
        <v>20067</v>
      </c>
      <c r="N671" s="16" t="s">
        <v>513</v>
      </c>
    </row>
    <row r="672" spans="1:14" s="5" customFormat="1" ht="12">
      <c r="A672" s="40" t="s">
        <v>21</v>
      </c>
      <c r="B672" s="40" t="s">
        <v>552</v>
      </c>
      <c r="C672" s="97">
        <v>1520</v>
      </c>
      <c r="D672" s="97">
        <v>1517</v>
      </c>
      <c r="E672" s="97">
        <v>1270</v>
      </c>
      <c r="F672" s="97">
        <v>410</v>
      </c>
      <c r="G672" s="97">
        <v>1493</v>
      </c>
      <c r="H672" s="97">
        <v>916</v>
      </c>
      <c r="I672" s="98"/>
      <c r="J672" s="10">
        <f t="shared" si="48"/>
        <v>9.120000000000001</v>
      </c>
      <c r="K672" s="11">
        <v>6</v>
      </c>
      <c r="L672" s="12">
        <f t="shared" si="49"/>
        <v>1.52</v>
      </c>
      <c r="M672" s="13">
        <f t="shared" si="50"/>
        <v>1520</v>
      </c>
      <c r="N672" s="16" t="s">
        <v>553</v>
      </c>
    </row>
    <row r="673" spans="1:16" s="5" customFormat="1" ht="12">
      <c r="A673" s="40" t="s">
        <v>21</v>
      </c>
      <c r="B673" s="40" t="s">
        <v>832</v>
      </c>
      <c r="C673" s="97">
        <v>1786</v>
      </c>
      <c r="D673" s="97">
        <v>1765</v>
      </c>
      <c r="E673" s="97">
        <v>1485</v>
      </c>
      <c r="F673" s="97">
        <v>425</v>
      </c>
      <c r="G673" s="97">
        <v>1749</v>
      </c>
      <c r="H673" s="97">
        <v>976</v>
      </c>
      <c r="I673" s="98"/>
      <c r="J673" s="10">
        <f t="shared" si="48"/>
        <v>10.716000000000001</v>
      </c>
      <c r="K673" s="11">
        <v>6</v>
      </c>
      <c r="L673" s="12">
        <f t="shared" si="49"/>
        <v>1.786</v>
      </c>
      <c r="M673" s="13">
        <f t="shared" si="50"/>
        <v>1786</v>
      </c>
      <c r="N673" s="16" t="s">
        <v>833</v>
      </c>
    </row>
    <row r="674" spans="1:16" s="5" customFormat="1" ht="12">
      <c r="A674" s="40" t="s">
        <v>21</v>
      </c>
      <c r="B674" s="40" t="s">
        <v>910</v>
      </c>
      <c r="C674" s="97">
        <v>1352</v>
      </c>
      <c r="D674" s="97">
        <v>1338</v>
      </c>
      <c r="E674" s="97">
        <v>1127</v>
      </c>
      <c r="F674" s="97">
        <v>368</v>
      </c>
      <c r="G674" s="97">
        <v>1330</v>
      </c>
      <c r="H674" s="97">
        <v>862</v>
      </c>
      <c r="I674" s="98"/>
      <c r="J674" s="10">
        <f t="shared" si="48"/>
        <v>8.1120000000000001</v>
      </c>
      <c r="K674" s="11">
        <v>6</v>
      </c>
      <c r="L674" s="12">
        <f t="shared" si="49"/>
        <v>1.3520000000000001</v>
      </c>
      <c r="M674" s="13">
        <f t="shared" si="50"/>
        <v>1352</v>
      </c>
      <c r="N674" s="16" t="s">
        <v>911</v>
      </c>
    </row>
    <row r="675" spans="1:16" s="5" customFormat="1" ht="12">
      <c r="A675" s="40" t="s">
        <v>21</v>
      </c>
      <c r="B675" s="40" t="s">
        <v>997</v>
      </c>
      <c r="C675" s="97">
        <v>4242</v>
      </c>
      <c r="D675" s="97">
        <v>4183</v>
      </c>
      <c r="E675" s="97">
        <v>3577</v>
      </c>
      <c r="F675" s="97">
        <v>1098</v>
      </c>
      <c r="G675" s="97">
        <v>4173</v>
      </c>
      <c r="H675" s="97">
        <v>2477</v>
      </c>
      <c r="I675" s="98"/>
      <c r="J675" s="10">
        <f t="shared" si="48"/>
        <v>25.451999999999998</v>
      </c>
      <c r="K675" s="11">
        <v>6</v>
      </c>
      <c r="L675" s="12">
        <f t="shared" si="49"/>
        <v>4.242</v>
      </c>
      <c r="M675" s="13">
        <f t="shared" si="50"/>
        <v>4242</v>
      </c>
      <c r="N675" s="16" t="s">
        <v>998</v>
      </c>
    </row>
    <row r="676" spans="1:16" s="5" customFormat="1" ht="12">
      <c r="A676" s="40" t="s">
        <v>21</v>
      </c>
      <c r="B676" s="40" t="s">
        <v>1550</v>
      </c>
      <c r="C676" s="97">
        <v>2154</v>
      </c>
      <c r="D676" s="97">
        <v>2119</v>
      </c>
      <c r="E676" s="97">
        <v>1755</v>
      </c>
      <c r="F676" s="97">
        <v>492</v>
      </c>
      <c r="G676" s="97">
        <v>2111</v>
      </c>
      <c r="H676" s="97">
        <v>1144</v>
      </c>
      <c r="I676" s="98"/>
      <c r="J676" s="10">
        <f t="shared" si="48"/>
        <v>12.923999999999999</v>
      </c>
      <c r="K676" s="11">
        <v>6</v>
      </c>
      <c r="L676" s="12">
        <f t="shared" si="49"/>
        <v>2.1539999999999999</v>
      </c>
      <c r="M676" s="13">
        <f t="shared" si="50"/>
        <v>2154</v>
      </c>
      <c r="N676" s="16" t="s">
        <v>1551</v>
      </c>
    </row>
    <row r="677" spans="1:16" s="5" customFormat="1" ht="12">
      <c r="A677" s="40" t="s">
        <v>21</v>
      </c>
      <c r="B677" s="40" t="s">
        <v>1967</v>
      </c>
      <c r="C677" s="97">
        <v>1333</v>
      </c>
      <c r="D677" s="97">
        <v>1318</v>
      </c>
      <c r="E677" s="97">
        <v>1154</v>
      </c>
      <c r="F677" s="97">
        <v>323</v>
      </c>
      <c r="G677" s="97">
        <v>1318</v>
      </c>
      <c r="H677" s="97">
        <v>794</v>
      </c>
      <c r="I677" s="98"/>
      <c r="J677" s="10">
        <f t="shared" si="48"/>
        <v>7.9979999999999993</v>
      </c>
      <c r="K677" s="11">
        <v>6</v>
      </c>
      <c r="L677" s="12">
        <f t="shared" si="49"/>
        <v>1.333</v>
      </c>
      <c r="M677" s="13">
        <f t="shared" si="50"/>
        <v>1333</v>
      </c>
      <c r="N677" s="16" t="s">
        <v>1629</v>
      </c>
    </row>
    <row r="678" spans="1:16" s="5" customFormat="1" ht="12">
      <c r="A678" s="40" t="s">
        <v>21</v>
      </c>
      <c r="B678" s="40" t="s">
        <v>1737</v>
      </c>
      <c r="C678" s="97">
        <v>1104</v>
      </c>
      <c r="D678" s="97">
        <v>1096</v>
      </c>
      <c r="E678" s="97">
        <v>889</v>
      </c>
      <c r="F678" s="97">
        <v>203</v>
      </c>
      <c r="G678" s="97">
        <v>1088</v>
      </c>
      <c r="H678" s="97">
        <v>533</v>
      </c>
      <c r="I678" s="98"/>
      <c r="J678" s="10">
        <f t="shared" si="48"/>
        <v>6.6240000000000006</v>
      </c>
      <c r="K678" s="11">
        <v>6</v>
      </c>
      <c r="L678" s="12">
        <f t="shared" si="49"/>
        <v>1.1040000000000001</v>
      </c>
      <c r="M678" s="13">
        <f t="shared" si="50"/>
        <v>1104</v>
      </c>
      <c r="N678" s="16" t="s">
        <v>1738</v>
      </c>
    </row>
    <row r="679" spans="1:16" s="5" customFormat="1" ht="12">
      <c r="A679" s="40" t="s">
        <v>476</v>
      </c>
      <c r="B679" s="40" t="s">
        <v>477</v>
      </c>
      <c r="C679" s="97">
        <v>1665</v>
      </c>
      <c r="D679" s="97">
        <v>1622</v>
      </c>
      <c r="E679" s="97">
        <v>1332</v>
      </c>
      <c r="F679" s="97">
        <v>401</v>
      </c>
      <c r="G679" s="97">
        <v>1611</v>
      </c>
      <c r="H679" s="97">
        <v>918</v>
      </c>
      <c r="I679" s="98"/>
      <c r="J679" s="10">
        <f t="shared" ref="J679:J684" si="51">+K679*L679</f>
        <v>9.99</v>
      </c>
      <c r="K679" s="11">
        <v>6</v>
      </c>
      <c r="L679" s="12">
        <f t="shared" ref="L679:L684" si="52">+M679/1000</f>
        <v>1.665</v>
      </c>
      <c r="M679" s="13">
        <f t="shared" ref="M679:M684" si="53">+C679</f>
        <v>1665</v>
      </c>
      <c r="N679" s="16" t="s">
        <v>478</v>
      </c>
    </row>
    <row r="680" spans="1:16" s="5" customFormat="1" ht="12">
      <c r="A680" s="40" t="s">
        <v>476</v>
      </c>
      <c r="B680" s="40" t="s">
        <v>476</v>
      </c>
      <c r="C680" s="97">
        <v>5038</v>
      </c>
      <c r="D680" s="97">
        <v>4950</v>
      </c>
      <c r="E680" s="97">
        <v>4031</v>
      </c>
      <c r="F680" s="97">
        <v>1234</v>
      </c>
      <c r="G680" s="97">
        <v>4943</v>
      </c>
      <c r="H680" s="97">
        <v>2764</v>
      </c>
      <c r="I680" s="98"/>
      <c r="J680" s="10">
        <f t="shared" si="51"/>
        <v>30.228000000000002</v>
      </c>
      <c r="K680" s="11">
        <v>6</v>
      </c>
      <c r="L680" s="12">
        <f t="shared" si="52"/>
        <v>5.0380000000000003</v>
      </c>
      <c r="M680" s="13">
        <f t="shared" si="53"/>
        <v>5038</v>
      </c>
      <c r="N680" s="16" t="s">
        <v>1914</v>
      </c>
    </row>
    <row r="681" spans="1:16" s="5" customFormat="1" ht="12">
      <c r="A681" s="40" t="s">
        <v>123</v>
      </c>
      <c r="B681" s="40" t="s">
        <v>602</v>
      </c>
      <c r="C681" s="97">
        <v>1434</v>
      </c>
      <c r="D681" s="97">
        <v>1400</v>
      </c>
      <c r="E681" s="97">
        <v>1131</v>
      </c>
      <c r="F681" s="97">
        <v>379</v>
      </c>
      <c r="G681" s="97">
        <v>1407</v>
      </c>
      <c r="H681" s="97">
        <v>810</v>
      </c>
      <c r="I681" s="98"/>
      <c r="J681" s="10">
        <f t="shared" si="51"/>
        <v>8.6039999999999992</v>
      </c>
      <c r="K681" s="11">
        <v>6</v>
      </c>
      <c r="L681" s="12">
        <f t="shared" si="52"/>
        <v>1.4339999999999999</v>
      </c>
      <c r="M681" s="13">
        <f t="shared" si="53"/>
        <v>1434</v>
      </c>
      <c r="N681" s="16" t="s">
        <v>603</v>
      </c>
    </row>
    <row r="682" spans="1:16" s="2" customFormat="1" ht="12">
      <c r="A682" s="40" t="s">
        <v>123</v>
      </c>
      <c r="B682" s="40" t="s">
        <v>809</v>
      </c>
      <c r="C682" s="97">
        <v>1191</v>
      </c>
      <c r="D682" s="97">
        <v>1174</v>
      </c>
      <c r="E682" s="97">
        <v>1030</v>
      </c>
      <c r="F682" s="97">
        <v>407</v>
      </c>
      <c r="G682" s="97">
        <v>1177</v>
      </c>
      <c r="H682" s="97">
        <v>790</v>
      </c>
      <c r="I682" s="98"/>
      <c r="J682" s="10">
        <f t="shared" si="51"/>
        <v>7.1460000000000008</v>
      </c>
      <c r="K682" s="11">
        <v>6</v>
      </c>
      <c r="L682" s="12">
        <f t="shared" si="52"/>
        <v>1.1910000000000001</v>
      </c>
      <c r="M682" s="13">
        <f t="shared" si="53"/>
        <v>1191</v>
      </c>
      <c r="N682" s="16" t="s">
        <v>810</v>
      </c>
      <c r="O682" s="5"/>
      <c r="P682" s="5"/>
    </row>
    <row r="683" spans="1:16" s="5" customFormat="1" ht="12">
      <c r="A683" s="40" t="s">
        <v>123</v>
      </c>
      <c r="B683" s="40" t="s">
        <v>839</v>
      </c>
      <c r="C683" s="97">
        <v>1058</v>
      </c>
      <c r="D683" s="97">
        <v>1037</v>
      </c>
      <c r="E683" s="97">
        <v>857</v>
      </c>
      <c r="F683" s="97">
        <v>256</v>
      </c>
      <c r="G683" s="97">
        <v>1048</v>
      </c>
      <c r="H683" s="97">
        <v>585</v>
      </c>
      <c r="I683" s="98"/>
      <c r="J683" s="10">
        <f t="shared" si="51"/>
        <v>6.3480000000000008</v>
      </c>
      <c r="K683" s="11">
        <v>6</v>
      </c>
      <c r="L683" s="12">
        <f t="shared" si="52"/>
        <v>1.0580000000000001</v>
      </c>
      <c r="M683" s="13">
        <f t="shared" si="53"/>
        <v>1058</v>
      </c>
      <c r="N683" s="16" t="s">
        <v>840</v>
      </c>
    </row>
    <row r="684" spans="1:16" s="5" customFormat="1" ht="12">
      <c r="A684" s="40" t="s">
        <v>123</v>
      </c>
      <c r="B684" s="40" t="s">
        <v>123</v>
      </c>
      <c r="C684" s="97">
        <v>30992</v>
      </c>
      <c r="D684" s="97">
        <v>30712</v>
      </c>
      <c r="E684" s="97">
        <v>26837</v>
      </c>
      <c r="F684" s="97">
        <v>9884</v>
      </c>
      <c r="G684" s="97">
        <v>30683</v>
      </c>
      <c r="H684" s="97">
        <v>20182</v>
      </c>
      <c r="I684" s="98"/>
      <c r="J684" s="10">
        <f t="shared" si="51"/>
        <v>92.975999999999999</v>
      </c>
      <c r="K684" s="11">
        <v>3</v>
      </c>
      <c r="L684" s="12">
        <f t="shared" si="52"/>
        <v>30.992000000000001</v>
      </c>
      <c r="M684" s="13">
        <f t="shared" si="53"/>
        <v>30992</v>
      </c>
      <c r="N684" s="41" t="s">
        <v>1915</v>
      </c>
    </row>
    <row r="685" spans="1:16" s="5" customForma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/>
      <c r="P685"/>
    </row>
  </sheetData>
  <sortState xmlns:xlrd2="http://schemas.microsoft.com/office/spreadsheetml/2017/richdata2" ref="A2:P686">
    <sortCondition ref="A2:A686"/>
    <sortCondition ref="B2:B686"/>
    <sortCondition ref="N2:N686"/>
  </sortState>
  <hyperlinks>
    <hyperlink ref="N2" r:id="rId1" xr:uid="{00000000-0004-0000-0100-000000000000}"/>
    <hyperlink ref="N3" r:id="rId2" xr:uid="{00000000-0004-0000-0100-000001000000}"/>
    <hyperlink ref="N6" r:id="rId3" xr:uid="{00000000-0004-0000-0100-000002000000}"/>
    <hyperlink ref="N7" r:id="rId4" xr:uid="{00000000-0004-0000-0100-000003000000}"/>
    <hyperlink ref="N8" r:id="rId5" xr:uid="{00000000-0004-0000-0100-000004000000}"/>
    <hyperlink ref="N9" r:id="rId6" xr:uid="{00000000-0004-0000-0100-000005000000}"/>
    <hyperlink ref="N10" r:id="rId7" xr:uid="{00000000-0004-0000-0100-000006000000}"/>
    <hyperlink ref="N73" r:id="rId8" xr:uid="{00000000-0004-0000-0100-000007000000}"/>
    <hyperlink ref="N74" r:id="rId9" xr:uid="{00000000-0004-0000-0100-000008000000}"/>
    <hyperlink ref="N81" r:id="rId10" xr:uid="{00000000-0004-0000-0100-000009000000}"/>
    <hyperlink ref="N35" r:id="rId11" xr:uid="{00000000-0004-0000-0100-00000A000000}"/>
    <hyperlink ref="N60" r:id="rId12" xr:uid="{00000000-0004-0000-0100-00000B000000}"/>
    <hyperlink ref="N61" r:id="rId13" xr:uid="{00000000-0004-0000-0100-00000C000000}"/>
    <hyperlink ref="N68" r:id="rId14" xr:uid="{00000000-0004-0000-0100-00000D000000}"/>
    <hyperlink ref="N140" r:id="rId15" xr:uid="{00000000-0004-0000-0100-00000E000000}"/>
    <hyperlink ref="N143" r:id="rId16" xr:uid="{00000000-0004-0000-0100-00000F000000}"/>
    <hyperlink ref="N144" r:id="rId17" xr:uid="{00000000-0004-0000-0100-000010000000}"/>
    <hyperlink ref="N145" r:id="rId18" xr:uid="{00000000-0004-0000-0100-000011000000}"/>
    <hyperlink ref="N146" r:id="rId19" xr:uid="{00000000-0004-0000-0100-000012000000}"/>
    <hyperlink ref="N150" r:id="rId20" xr:uid="{00000000-0004-0000-0100-000013000000}"/>
    <hyperlink ref="N158" r:id="rId21" xr:uid="{00000000-0004-0000-0100-000014000000}"/>
    <hyperlink ref="N261" r:id="rId22" xr:uid="{00000000-0004-0000-0100-000015000000}"/>
    <hyperlink ref="N279" r:id="rId23" xr:uid="{00000000-0004-0000-0100-000016000000}"/>
    <hyperlink ref="N299" r:id="rId24" xr:uid="{00000000-0004-0000-0100-000017000000}"/>
    <hyperlink ref="N300" r:id="rId25" xr:uid="{00000000-0004-0000-0100-000018000000}"/>
    <hyperlink ref="N315" r:id="rId26" xr:uid="{00000000-0004-0000-0100-000019000000}"/>
    <hyperlink ref="N319" r:id="rId27" xr:uid="{00000000-0004-0000-0100-00001A000000}"/>
    <hyperlink ref="N425" r:id="rId28" xr:uid="{00000000-0004-0000-0100-00001B000000}"/>
    <hyperlink ref="N455" r:id="rId29" xr:uid="{00000000-0004-0000-0100-00001C000000}"/>
    <hyperlink ref="N526" r:id="rId30" xr:uid="{00000000-0004-0000-0100-00001D000000}"/>
    <hyperlink ref="N596" r:id="rId31" xr:uid="{00000000-0004-0000-0100-00001E000000}"/>
    <hyperlink ref="N597" r:id="rId32" xr:uid="{00000000-0004-0000-0100-00001F000000}"/>
    <hyperlink ref="N598" r:id="rId33" xr:uid="{00000000-0004-0000-0100-000020000000}"/>
    <hyperlink ref="N662" r:id="rId34" xr:uid="{00000000-0004-0000-0100-000021000000}"/>
    <hyperlink ref="N684" r:id="rId35" xr:uid="{00000000-0004-0000-0100-000022000000}"/>
    <hyperlink ref="N657" r:id="rId36" xr:uid="{00000000-0004-0000-0100-000023000000}"/>
    <hyperlink ref="N658" r:id="rId37" xr:uid="{00000000-0004-0000-0100-000024000000}"/>
    <hyperlink ref="N659" r:id="rId38" xr:uid="{00000000-0004-0000-0100-000025000000}"/>
    <hyperlink ref="N660" r:id="rId39" xr:uid="{00000000-0004-0000-0100-000026000000}"/>
    <hyperlink ref="N661" r:id="rId40" xr:uid="{00000000-0004-0000-0100-000027000000}"/>
    <hyperlink ref="N489" r:id="rId41" xr:uid="{00000000-0004-0000-0100-000028000000}"/>
    <hyperlink ref="N653" r:id="rId42" xr:uid="{00000000-0004-0000-0100-000029000000}"/>
    <hyperlink ref="N520" r:id="rId43" xr:uid="{00000000-0004-0000-0100-00002A000000}"/>
    <hyperlink ref="N637" r:id="rId44" xr:uid="{00000000-0004-0000-0100-00002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9"/>
  <sheetViews>
    <sheetView zoomScaleNormal="100" workbookViewId="0">
      <selection activeCell="B411" sqref="B411"/>
    </sheetView>
  </sheetViews>
  <sheetFormatPr baseColWidth="10" defaultRowHeight="15"/>
  <cols>
    <col min="1" max="1" width="29" customWidth="1"/>
    <col min="2" max="2" width="23.7109375" customWidth="1"/>
    <col min="3" max="3" width="6.85546875" style="114" bestFit="1" customWidth="1"/>
    <col min="4" max="4" width="7.7109375" style="114" bestFit="1" customWidth="1"/>
    <col min="5" max="5" width="7.28515625" style="114" bestFit="1" customWidth="1"/>
    <col min="6" max="6" width="5.7109375" style="114" bestFit="1" customWidth="1"/>
    <col min="7" max="7" width="7.42578125" style="114" bestFit="1" customWidth="1"/>
    <col min="8" max="8" width="7" style="114" bestFit="1" customWidth="1"/>
    <col min="9" max="9" width="3.5703125" style="115" customWidth="1"/>
    <col min="10" max="10" width="6.140625" style="115" bestFit="1" customWidth="1"/>
    <col min="11" max="11" width="4.42578125" style="115" bestFit="1" customWidth="1"/>
    <col min="12" max="12" width="5.7109375" style="115" bestFit="1" customWidth="1"/>
    <col min="13" max="13" width="7.140625" style="115" bestFit="1" customWidth="1"/>
    <col min="14" max="14" width="105.5703125" style="45" customWidth="1"/>
    <col min="16" max="16" width="42.85546875" customWidth="1"/>
  </cols>
  <sheetData>
    <row r="1" spans="1:16" s="5" customFormat="1" ht="12">
      <c r="A1" s="61" t="s">
        <v>0</v>
      </c>
      <c r="B1" s="62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5"/>
      <c r="J1" s="96" t="s">
        <v>8</v>
      </c>
      <c r="K1" s="96" t="s">
        <v>9</v>
      </c>
      <c r="L1" s="96" t="s">
        <v>10</v>
      </c>
      <c r="M1" s="96" t="s">
        <v>11</v>
      </c>
      <c r="N1" s="63"/>
    </row>
    <row r="2" spans="1:16" s="5" customFormat="1" ht="12">
      <c r="A2" s="40" t="s">
        <v>37</v>
      </c>
      <c r="B2" s="40" t="s">
        <v>103</v>
      </c>
      <c r="C2" s="97">
        <v>576</v>
      </c>
      <c r="D2" s="97">
        <v>565</v>
      </c>
      <c r="E2" s="97">
        <v>460</v>
      </c>
      <c r="F2" s="97">
        <v>96</v>
      </c>
      <c r="G2" s="97">
        <v>559</v>
      </c>
      <c r="H2" s="97">
        <v>264</v>
      </c>
      <c r="I2" s="98"/>
      <c r="J2" s="10">
        <f t="shared" ref="J2:J34" si="0">+K2*L2</f>
        <v>3.4559999999999995</v>
      </c>
      <c r="K2" s="11">
        <v>6</v>
      </c>
      <c r="L2" s="12">
        <f t="shared" ref="L2:L34" si="1">+M2/1000</f>
        <v>0.57599999999999996</v>
      </c>
      <c r="M2" s="13">
        <f t="shared" ref="M2:M34" si="2">+C2</f>
        <v>576</v>
      </c>
      <c r="N2" s="15"/>
    </row>
    <row r="3" spans="1:16" s="5" customFormat="1" ht="12">
      <c r="A3" s="40" t="s">
        <v>37</v>
      </c>
      <c r="B3" s="40" t="s">
        <v>122</v>
      </c>
      <c r="C3" s="97">
        <v>1144</v>
      </c>
      <c r="D3" s="97">
        <v>1127</v>
      </c>
      <c r="E3" s="97">
        <v>910</v>
      </c>
      <c r="F3" s="97">
        <v>216</v>
      </c>
      <c r="G3" s="97">
        <v>1115</v>
      </c>
      <c r="H3" s="97">
        <v>555</v>
      </c>
      <c r="I3" s="98"/>
      <c r="J3" s="10">
        <f t="shared" si="0"/>
        <v>6.863999999999999</v>
      </c>
      <c r="K3" s="11">
        <v>6</v>
      </c>
      <c r="L3" s="12">
        <f t="shared" si="1"/>
        <v>1.1439999999999999</v>
      </c>
      <c r="M3" s="13">
        <f t="shared" si="2"/>
        <v>1144</v>
      </c>
      <c r="N3" s="15"/>
    </row>
    <row r="4" spans="1:16" s="5" customFormat="1" ht="12">
      <c r="A4" s="40" t="s">
        <v>37</v>
      </c>
      <c r="B4" s="40" t="s">
        <v>194</v>
      </c>
      <c r="C4" s="97">
        <v>801</v>
      </c>
      <c r="D4" s="97">
        <v>786</v>
      </c>
      <c r="E4" s="97">
        <v>602</v>
      </c>
      <c r="F4" s="97">
        <v>171</v>
      </c>
      <c r="G4" s="97">
        <v>777</v>
      </c>
      <c r="H4" s="97">
        <v>525</v>
      </c>
      <c r="I4" s="98"/>
      <c r="J4" s="10">
        <f t="shared" si="0"/>
        <v>4.806</v>
      </c>
      <c r="K4" s="11">
        <v>6</v>
      </c>
      <c r="L4" s="12">
        <f t="shared" si="1"/>
        <v>0.80100000000000005</v>
      </c>
      <c r="M4" s="13">
        <f t="shared" si="2"/>
        <v>801</v>
      </c>
      <c r="N4" s="15"/>
    </row>
    <row r="5" spans="1:16" s="5" customFormat="1" ht="12">
      <c r="A5" s="40" t="s">
        <v>37</v>
      </c>
      <c r="B5" s="40" t="s">
        <v>230</v>
      </c>
      <c r="C5" s="97">
        <v>365</v>
      </c>
      <c r="D5" s="97">
        <v>346</v>
      </c>
      <c r="E5" s="97">
        <v>260</v>
      </c>
      <c r="F5" s="97">
        <v>59</v>
      </c>
      <c r="G5" s="97">
        <v>349</v>
      </c>
      <c r="H5" s="97">
        <v>164</v>
      </c>
      <c r="I5" s="98"/>
      <c r="J5" s="10">
        <f t="shared" si="0"/>
        <v>2.19</v>
      </c>
      <c r="K5" s="11">
        <v>6</v>
      </c>
      <c r="L5" s="12">
        <f t="shared" si="1"/>
        <v>0.36499999999999999</v>
      </c>
      <c r="M5" s="13">
        <f t="shared" si="2"/>
        <v>365</v>
      </c>
      <c r="N5" s="15"/>
    </row>
    <row r="6" spans="1:16" s="5" customFormat="1" ht="12">
      <c r="A6" s="40" t="s">
        <v>37</v>
      </c>
      <c r="B6" s="40" t="s">
        <v>280</v>
      </c>
      <c r="C6" s="97">
        <v>3007</v>
      </c>
      <c r="D6" s="97">
        <v>2956</v>
      </c>
      <c r="E6" s="97">
        <v>2545</v>
      </c>
      <c r="F6" s="97">
        <v>799</v>
      </c>
      <c r="G6" s="97">
        <v>2922</v>
      </c>
      <c r="H6" s="97">
        <v>1787</v>
      </c>
      <c r="I6" s="98"/>
      <c r="J6" s="10">
        <f t="shared" si="0"/>
        <v>18.042000000000002</v>
      </c>
      <c r="K6" s="11">
        <v>6</v>
      </c>
      <c r="L6" s="12">
        <f t="shared" si="1"/>
        <v>3.0070000000000001</v>
      </c>
      <c r="M6" s="13">
        <f t="shared" si="2"/>
        <v>3007</v>
      </c>
      <c r="N6" s="15"/>
    </row>
    <row r="7" spans="1:16" s="2" customFormat="1" ht="12">
      <c r="A7" s="40" t="s">
        <v>37</v>
      </c>
      <c r="B7" s="40" t="s">
        <v>349</v>
      </c>
      <c r="C7" s="97">
        <v>1173</v>
      </c>
      <c r="D7" s="97">
        <v>1149</v>
      </c>
      <c r="E7" s="97">
        <v>969</v>
      </c>
      <c r="F7" s="97">
        <v>258</v>
      </c>
      <c r="G7" s="97">
        <v>1148</v>
      </c>
      <c r="H7" s="97">
        <v>594</v>
      </c>
      <c r="I7" s="98"/>
      <c r="J7" s="10">
        <f t="shared" si="0"/>
        <v>7.0380000000000003</v>
      </c>
      <c r="K7" s="11">
        <v>6</v>
      </c>
      <c r="L7" s="12">
        <f t="shared" si="1"/>
        <v>1.173</v>
      </c>
      <c r="M7" s="13">
        <f t="shared" si="2"/>
        <v>1173</v>
      </c>
      <c r="N7" s="15"/>
      <c r="O7" s="5"/>
      <c r="P7" s="5"/>
    </row>
    <row r="8" spans="1:16" s="2" customFormat="1" ht="12">
      <c r="A8" s="40" t="s">
        <v>37</v>
      </c>
      <c r="B8" s="40" t="s">
        <v>557</v>
      </c>
      <c r="C8" s="97">
        <v>355</v>
      </c>
      <c r="D8" s="97">
        <v>338</v>
      </c>
      <c r="E8" s="97">
        <v>260</v>
      </c>
      <c r="F8" s="97">
        <v>37</v>
      </c>
      <c r="G8" s="97">
        <v>347</v>
      </c>
      <c r="H8" s="97">
        <v>131</v>
      </c>
      <c r="I8" s="98"/>
      <c r="J8" s="10">
        <f t="shared" si="0"/>
        <v>2.13</v>
      </c>
      <c r="K8" s="11">
        <v>6</v>
      </c>
      <c r="L8" s="12">
        <f t="shared" si="1"/>
        <v>0.35499999999999998</v>
      </c>
      <c r="M8" s="13">
        <f t="shared" si="2"/>
        <v>355</v>
      </c>
      <c r="N8" s="15"/>
      <c r="O8" s="5"/>
      <c r="P8" s="5"/>
    </row>
    <row r="9" spans="1:16" s="5" customFormat="1" ht="12">
      <c r="A9" s="40" t="s">
        <v>37</v>
      </c>
      <c r="B9" s="40" t="s">
        <v>564</v>
      </c>
      <c r="C9" s="97">
        <v>443</v>
      </c>
      <c r="D9" s="97">
        <v>433</v>
      </c>
      <c r="E9" s="97">
        <v>376</v>
      </c>
      <c r="F9" s="97">
        <v>106</v>
      </c>
      <c r="G9" s="97">
        <v>444</v>
      </c>
      <c r="H9" s="97">
        <v>285</v>
      </c>
      <c r="I9" s="98"/>
      <c r="J9" s="10">
        <f t="shared" si="0"/>
        <v>2.6579999999999999</v>
      </c>
      <c r="K9" s="11">
        <v>6</v>
      </c>
      <c r="L9" s="12">
        <f t="shared" si="1"/>
        <v>0.443</v>
      </c>
      <c r="M9" s="13">
        <f t="shared" si="2"/>
        <v>443</v>
      </c>
      <c r="N9" s="15"/>
    </row>
    <row r="10" spans="1:16" s="5" customFormat="1" ht="12">
      <c r="A10" s="40" t="s">
        <v>37</v>
      </c>
      <c r="B10" s="40" t="s">
        <v>632</v>
      </c>
      <c r="C10" s="97">
        <v>606</v>
      </c>
      <c r="D10" s="97">
        <v>586</v>
      </c>
      <c r="E10" s="97">
        <v>468</v>
      </c>
      <c r="F10" s="97">
        <v>143</v>
      </c>
      <c r="G10" s="97">
        <v>592</v>
      </c>
      <c r="H10" s="97">
        <v>295</v>
      </c>
      <c r="I10" s="98"/>
      <c r="J10" s="10">
        <f t="shared" si="0"/>
        <v>3.6360000000000001</v>
      </c>
      <c r="K10" s="11">
        <v>6</v>
      </c>
      <c r="L10" s="12">
        <f t="shared" si="1"/>
        <v>0.60599999999999998</v>
      </c>
      <c r="M10" s="13">
        <f t="shared" si="2"/>
        <v>606</v>
      </c>
      <c r="N10" s="15"/>
    </row>
    <row r="11" spans="1:16" s="5" customFormat="1" ht="12">
      <c r="A11" s="40" t="s">
        <v>37</v>
      </c>
      <c r="B11" s="40" t="s">
        <v>1980</v>
      </c>
      <c r="C11" s="97">
        <v>2635</v>
      </c>
      <c r="D11" s="97">
        <v>2595</v>
      </c>
      <c r="E11" s="97">
        <v>2279</v>
      </c>
      <c r="F11" s="97">
        <v>775</v>
      </c>
      <c r="G11" s="97">
        <v>2563</v>
      </c>
      <c r="H11" s="97">
        <v>1643</v>
      </c>
      <c r="I11" s="98"/>
      <c r="J11" s="10">
        <f t="shared" si="0"/>
        <v>15.809999999999999</v>
      </c>
      <c r="K11" s="11">
        <v>6</v>
      </c>
      <c r="L11" s="12">
        <f t="shared" si="1"/>
        <v>2.6349999999999998</v>
      </c>
      <c r="M11" s="13">
        <f t="shared" si="2"/>
        <v>2635</v>
      </c>
      <c r="N11" s="15"/>
    </row>
    <row r="12" spans="1:16" s="5" customFormat="1" ht="12">
      <c r="A12" s="40" t="s">
        <v>37</v>
      </c>
      <c r="B12" s="40" t="s">
        <v>678</v>
      </c>
      <c r="C12" s="97">
        <v>1666</v>
      </c>
      <c r="D12" s="97">
        <v>1638</v>
      </c>
      <c r="E12" s="97">
        <v>1384</v>
      </c>
      <c r="F12" s="97">
        <v>393</v>
      </c>
      <c r="G12" s="97">
        <v>1602</v>
      </c>
      <c r="H12" s="97">
        <v>915</v>
      </c>
      <c r="I12" s="98"/>
      <c r="J12" s="10">
        <f t="shared" si="0"/>
        <v>9.9959999999999987</v>
      </c>
      <c r="K12" s="11">
        <v>6</v>
      </c>
      <c r="L12" s="12">
        <f t="shared" si="1"/>
        <v>1.6659999999999999</v>
      </c>
      <c r="M12" s="13">
        <f t="shared" si="2"/>
        <v>1666</v>
      </c>
      <c r="N12" s="15"/>
    </row>
    <row r="13" spans="1:16" s="5" customFormat="1" ht="12">
      <c r="A13" s="40" t="s">
        <v>37</v>
      </c>
      <c r="B13" s="40" t="s">
        <v>714</v>
      </c>
      <c r="C13" s="97">
        <v>491</v>
      </c>
      <c r="D13" s="97">
        <v>480</v>
      </c>
      <c r="E13" s="97">
        <v>386</v>
      </c>
      <c r="F13" s="97">
        <v>102</v>
      </c>
      <c r="G13" s="97">
        <v>485</v>
      </c>
      <c r="H13" s="97">
        <v>215</v>
      </c>
      <c r="I13" s="98"/>
      <c r="J13" s="10">
        <f t="shared" si="0"/>
        <v>2.9459999999999997</v>
      </c>
      <c r="K13" s="11">
        <v>6</v>
      </c>
      <c r="L13" s="12">
        <f t="shared" si="1"/>
        <v>0.49099999999999999</v>
      </c>
      <c r="M13" s="13">
        <f t="shared" si="2"/>
        <v>491</v>
      </c>
      <c r="N13" s="15"/>
    </row>
    <row r="14" spans="1:16" s="5" customFormat="1" ht="12">
      <c r="A14" s="40" t="s">
        <v>37</v>
      </c>
      <c r="B14" s="40" t="s">
        <v>739</v>
      </c>
      <c r="C14" s="97">
        <v>463</v>
      </c>
      <c r="D14" s="97">
        <v>453</v>
      </c>
      <c r="E14" s="97">
        <v>352</v>
      </c>
      <c r="F14" s="97">
        <v>79</v>
      </c>
      <c r="G14" s="97">
        <v>451</v>
      </c>
      <c r="H14" s="97">
        <v>206</v>
      </c>
      <c r="I14" s="98"/>
      <c r="J14" s="10">
        <f t="shared" si="0"/>
        <v>2.778</v>
      </c>
      <c r="K14" s="11">
        <v>6</v>
      </c>
      <c r="L14" s="12">
        <f t="shared" si="1"/>
        <v>0.46300000000000002</v>
      </c>
      <c r="M14" s="13">
        <f t="shared" si="2"/>
        <v>463</v>
      </c>
      <c r="N14" s="15"/>
    </row>
    <row r="15" spans="1:16" s="5" customFormat="1" ht="12">
      <c r="A15" s="40" t="s">
        <v>37</v>
      </c>
      <c r="B15" s="40" t="s">
        <v>786</v>
      </c>
      <c r="C15" s="97">
        <v>1945</v>
      </c>
      <c r="D15" s="97">
        <v>1917</v>
      </c>
      <c r="E15" s="97">
        <v>1606</v>
      </c>
      <c r="F15" s="97">
        <v>471</v>
      </c>
      <c r="G15" s="97">
        <v>1899</v>
      </c>
      <c r="H15" s="97">
        <v>1036</v>
      </c>
      <c r="I15" s="98"/>
      <c r="J15" s="10">
        <f t="shared" si="0"/>
        <v>11.67</v>
      </c>
      <c r="K15" s="11">
        <v>6</v>
      </c>
      <c r="L15" s="12">
        <f t="shared" si="1"/>
        <v>1.9450000000000001</v>
      </c>
      <c r="M15" s="13">
        <f t="shared" si="2"/>
        <v>1945</v>
      </c>
      <c r="N15" s="15"/>
    </row>
    <row r="16" spans="1:16" s="5" customFormat="1" ht="12">
      <c r="A16" s="40" t="s">
        <v>37</v>
      </c>
      <c r="B16" s="40" t="s">
        <v>824</v>
      </c>
      <c r="C16" s="97">
        <v>1176</v>
      </c>
      <c r="D16" s="97">
        <v>1168</v>
      </c>
      <c r="E16" s="97">
        <v>1001</v>
      </c>
      <c r="F16" s="97">
        <v>350</v>
      </c>
      <c r="G16" s="97">
        <v>1155</v>
      </c>
      <c r="H16" s="97">
        <v>745</v>
      </c>
      <c r="I16" s="98"/>
      <c r="J16" s="10">
        <f t="shared" si="0"/>
        <v>7.0559999999999992</v>
      </c>
      <c r="K16" s="11">
        <v>6</v>
      </c>
      <c r="L16" s="12">
        <f t="shared" si="1"/>
        <v>1.1759999999999999</v>
      </c>
      <c r="M16" s="13">
        <f t="shared" si="2"/>
        <v>1176</v>
      </c>
      <c r="N16" s="15"/>
    </row>
    <row r="17" spans="1:14" s="5" customFormat="1" ht="12">
      <c r="A17" s="40" t="s">
        <v>37</v>
      </c>
      <c r="B17" s="40" t="s">
        <v>848</v>
      </c>
      <c r="C17" s="97">
        <v>332</v>
      </c>
      <c r="D17" s="97">
        <v>317</v>
      </c>
      <c r="E17" s="97">
        <v>244</v>
      </c>
      <c r="F17" s="97">
        <v>102</v>
      </c>
      <c r="G17" s="97">
        <v>327</v>
      </c>
      <c r="H17" s="97">
        <v>177</v>
      </c>
      <c r="I17" s="98"/>
      <c r="J17" s="10">
        <f t="shared" si="0"/>
        <v>1.992</v>
      </c>
      <c r="K17" s="11">
        <v>6</v>
      </c>
      <c r="L17" s="12">
        <f t="shared" si="1"/>
        <v>0.33200000000000002</v>
      </c>
      <c r="M17" s="13">
        <f t="shared" si="2"/>
        <v>332</v>
      </c>
      <c r="N17" s="15"/>
    </row>
    <row r="18" spans="1:14" s="5" customFormat="1" ht="12">
      <c r="A18" s="40" t="s">
        <v>37</v>
      </c>
      <c r="B18" s="40" t="s">
        <v>1981</v>
      </c>
      <c r="C18" s="97">
        <v>833</v>
      </c>
      <c r="D18" s="97">
        <v>829</v>
      </c>
      <c r="E18" s="97">
        <v>730</v>
      </c>
      <c r="F18" s="97">
        <v>192</v>
      </c>
      <c r="G18" s="97">
        <v>824</v>
      </c>
      <c r="H18" s="97">
        <v>471</v>
      </c>
      <c r="I18" s="98"/>
      <c r="J18" s="10">
        <f t="shared" si="0"/>
        <v>4.9979999999999993</v>
      </c>
      <c r="K18" s="11">
        <v>6</v>
      </c>
      <c r="L18" s="12">
        <f t="shared" si="1"/>
        <v>0.83299999999999996</v>
      </c>
      <c r="M18" s="13">
        <f t="shared" si="2"/>
        <v>833</v>
      </c>
      <c r="N18" s="15"/>
    </row>
    <row r="19" spans="1:14" s="5" customFormat="1" ht="12">
      <c r="A19" s="40" t="s">
        <v>37</v>
      </c>
      <c r="B19" s="40" t="s">
        <v>1947</v>
      </c>
      <c r="C19" s="97">
        <v>566</v>
      </c>
      <c r="D19" s="97">
        <v>558</v>
      </c>
      <c r="E19" s="97">
        <v>448</v>
      </c>
      <c r="F19" s="97">
        <v>98</v>
      </c>
      <c r="G19" s="97">
        <v>548</v>
      </c>
      <c r="H19" s="97">
        <v>273</v>
      </c>
      <c r="I19" s="98"/>
      <c r="J19" s="10">
        <f t="shared" si="0"/>
        <v>3.3959999999999999</v>
      </c>
      <c r="K19" s="11">
        <v>6</v>
      </c>
      <c r="L19" s="12">
        <f t="shared" si="1"/>
        <v>0.56599999999999995</v>
      </c>
      <c r="M19" s="13">
        <f t="shared" si="2"/>
        <v>566</v>
      </c>
      <c r="N19" s="15"/>
    </row>
    <row r="20" spans="1:14" s="5" customFormat="1" ht="12">
      <c r="A20" s="40" t="s">
        <v>37</v>
      </c>
      <c r="B20" s="40" t="s">
        <v>972</v>
      </c>
      <c r="C20" s="97">
        <v>655</v>
      </c>
      <c r="D20" s="97">
        <v>643</v>
      </c>
      <c r="E20" s="97">
        <v>523</v>
      </c>
      <c r="F20" s="97">
        <v>131</v>
      </c>
      <c r="G20" s="97">
        <v>640</v>
      </c>
      <c r="H20" s="97">
        <v>319</v>
      </c>
      <c r="I20" s="98"/>
      <c r="J20" s="10">
        <f t="shared" si="0"/>
        <v>3.93</v>
      </c>
      <c r="K20" s="11">
        <v>6</v>
      </c>
      <c r="L20" s="12">
        <f t="shared" si="1"/>
        <v>0.65500000000000003</v>
      </c>
      <c r="M20" s="13">
        <f t="shared" si="2"/>
        <v>655</v>
      </c>
      <c r="N20" s="15"/>
    </row>
    <row r="21" spans="1:14" s="5" customFormat="1" ht="12">
      <c r="A21" s="40" t="s">
        <v>37</v>
      </c>
      <c r="B21" s="40" t="s">
        <v>978</v>
      </c>
      <c r="C21" s="97">
        <v>556</v>
      </c>
      <c r="D21" s="97">
        <v>546</v>
      </c>
      <c r="E21" s="97">
        <v>448</v>
      </c>
      <c r="F21" s="97">
        <v>123</v>
      </c>
      <c r="G21" s="97">
        <v>544</v>
      </c>
      <c r="H21" s="97">
        <v>275</v>
      </c>
      <c r="I21" s="98"/>
      <c r="J21" s="10">
        <f t="shared" si="0"/>
        <v>3.3360000000000003</v>
      </c>
      <c r="K21" s="11">
        <v>6</v>
      </c>
      <c r="L21" s="12">
        <f t="shared" si="1"/>
        <v>0.55600000000000005</v>
      </c>
      <c r="M21" s="13">
        <f t="shared" si="2"/>
        <v>556</v>
      </c>
      <c r="N21" s="15"/>
    </row>
    <row r="22" spans="1:14" s="5" customFormat="1" ht="12">
      <c r="A22" s="40" t="s">
        <v>37</v>
      </c>
      <c r="B22" s="40" t="s">
        <v>1046</v>
      </c>
      <c r="C22" s="97">
        <v>480</v>
      </c>
      <c r="D22" s="97">
        <v>466</v>
      </c>
      <c r="E22" s="97">
        <v>370</v>
      </c>
      <c r="F22" s="97">
        <v>88</v>
      </c>
      <c r="G22" s="97">
        <v>465</v>
      </c>
      <c r="H22" s="97">
        <v>233</v>
      </c>
      <c r="I22" s="98"/>
      <c r="J22" s="10">
        <f t="shared" si="0"/>
        <v>2.88</v>
      </c>
      <c r="K22" s="11">
        <v>6</v>
      </c>
      <c r="L22" s="12">
        <f t="shared" si="1"/>
        <v>0.48</v>
      </c>
      <c r="M22" s="13">
        <f t="shared" si="2"/>
        <v>480</v>
      </c>
      <c r="N22" s="15"/>
    </row>
    <row r="23" spans="1:14" s="5" customFormat="1" ht="12">
      <c r="A23" s="40" t="s">
        <v>37</v>
      </c>
      <c r="B23" s="40" t="s">
        <v>1982</v>
      </c>
      <c r="C23" s="97">
        <v>459</v>
      </c>
      <c r="D23" s="97">
        <v>458</v>
      </c>
      <c r="E23" s="97">
        <v>373</v>
      </c>
      <c r="F23" s="97">
        <v>139</v>
      </c>
      <c r="G23" s="97">
        <v>441</v>
      </c>
      <c r="H23" s="97">
        <v>266</v>
      </c>
      <c r="I23" s="98"/>
      <c r="J23" s="10">
        <f t="shared" si="0"/>
        <v>2.754</v>
      </c>
      <c r="K23" s="11">
        <v>6</v>
      </c>
      <c r="L23" s="12">
        <f t="shared" si="1"/>
        <v>0.45900000000000002</v>
      </c>
      <c r="M23" s="13">
        <f t="shared" si="2"/>
        <v>459</v>
      </c>
      <c r="N23" s="15"/>
    </row>
    <row r="24" spans="1:14" s="5" customFormat="1" ht="12">
      <c r="A24" s="40" t="s">
        <v>37</v>
      </c>
      <c r="B24" s="40" t="s">
        <v>1078</v>
      </c>
      <c r="C24" s="97">
        <v>1469</v>
      </c>
      <c r="D24" s="97">
        <v>1447</v>
      </c>
      <c r="E24" s="97">
        <v>1199</v>
      </c>
      <c r="F24" s="97">
        <v>411</v>
      </c>
      <c r="G24" s="97">
        <v>1457</v>
      </c>
      <c r="H24" s="97">
        <v>1079</v>
      </c>
      <c r="I24" s="98"/>
      <c r="J24" s="10">
        <f t="shared" si="0"/>
        <v>8.8140000000000001</v>
      </c>
      <c r="K24" s="11">
        <v>6</v>
      </c>
      <c r="L24" s="12">
        <f t="shared" si="1"/>
        <v>1.4690000000000001</v>
      </c>
      <c r="M24" s="13">
        <f t="shared" si="2"/>
        <v>1469</v>
      </c>
      <c r="N24" s="15"/>
    </row>
    <row r="25" spans="1:14" s="5" customFormat="1" ht="12">
      <c r="A25" s="40" t="s">
        <v>37</v>
      </c>
      <c r="B25" s="40" t="s">
        <v>1100</v>
      </c>
      <c r="C25" s="97">
        <v>1280</v>
      </c>
      <c r="D25" s="97">
        <v>1252</v>
      </c>
      <c r="E25" s="97">
        <v>1045</v>
      </c>
      <c r="F25" s="97">
        <v>291</v>
      </c>
      <c r="G25" s="97">
        <v>1252</v>
      </c>
      <c r="H25" s="97">
        <v>661</v>
      </c>
      <c r="I25" s="98"/>
      <c r="J25" s="10">
        <f t="shared" si="0"/>
        <v>7.68</v>
      </c>
      <c r="K25" s="11">
        <v>6</v>
      </c>
      <c r="L25" s="12">
        <f t="shared" si="1"/>
        <v>1.28</v>
      </c>
      <c r="M25" s="13">
        <f t="shared" si="2"/>
        <v>1280</v>
      </c>
      <c r="N25" s="15"/>
    </row>
    <row r="26" spans="1:14" s="5" customFormat="1" ht="12">
      <c r="A26" s="40" t="s">
        <v>37</v>
      </c>
      <c r="B26" s="40" t="s">
        <v>1165</v>
      </c>
      <c r="C26" s="97">
        <v>480</v>
      </c>
      <c r="D26" s="97">
        <v>474</v>
      </c>
      <c r="E26" s="97">
        <v>393</v>
      </c>
      <c r="F26" s="97">
        <v>102</v>
      </c>
      <c r="G26" s="97">
        <v>475</v>
      </c>
      <c r="H26" s="97">
        <v>259</v>
      </c>
      <c r="I26" s="98"/>
      <c r="J26" s="10">
        <f t="shared" si="0"/>
        <v>2.88</v>
      </c>
      <c r="K26" s="11">
        <v>6</v>
      </c>
      <c r="L26" s="12">
        <f t="shared" si="1"/>
        <v>0.48</v>
      </c>
      <c r="M26" s="13">
        <f t="shared" si="2"/>
        <v>480</v>
      </c>
      <c r="N26" s="15"/>
    </row>
    <row r="27" spans="1:14" s="5" customFormat="1" ht="12">
      <c r="A27" s="40" t="s">
        <v>37</v>
      </c>
      <c r="B27" s="40" t="s">
        <v>1183</v>
      </c>
      <c r="C27" s="97">
        <v>433</v>
      </c>
      <c r="D27" s="97">
        <v>419</v>
      </c>
      <c r="E27" s="97">
        <v>315</v>
      </c>
      <c r="F27" s="97">
        <v>92</v>
      </c>
      <c r="G27" s="97">
        <v>419</v>
      </c>
      <c r="H27" s="97">
        <v>200</v>
      </c>
      <c r="I27" s="98"/>
      <c r="J27" s="10">
        <f t="shared" si="0"/>
        <v>2.5979999999999999</v>
      </c>
      <c r="K27" s="11">
        <v>6</v>
      </c>
      <c r="L27" s="12">
        <f t="shared" si="1"/>
        <v>0.433</v>
      </c>
      <c r="M27" s="13">
        <f t="shared" si="2"/>
        <v>433</v>
      </c>
      <c r="N27" s="15"/>
    </row>
    <row r="28" spans="1:14" s="5" customFormat="1" ht="12">
      <c r="A28" s="40" t="s">
        <v>37</v>
      </c>
      <c r="B28" s="40" t="s">
        <v>1948</v>
      </c>
      <c r="C28" s="97">
        <v>623</v>
      </c>
      <c r="D28" s="97">
        <v>605</v>
      </c>
      <c r="E28" s="97">
        <v>503</v>
      </c>
      <c r="F28" s="97">
        <v>99</v>
      </c>
      <c r="G28" s="97">
        <v>616</v>
      </c>
      <c r="H28" s="97">
        <v>252</v>
      </c>
      <c r="I28" s="98"/>
      <c r="J28" s="10">
        <f t="shared" si="0"/>
        <v>3.738</v>
      </c>
      <c r="K28" s="11">
        <v>6</v>
      </c>
      <c r="L28" s="12">
        <f t="shared" si="1"/>
        <v>0.623</v>
      </c>
      <c r="M28" s="13">
        <f t="shared" si="2"/>
        <v>623</v>
      </c>
      <c r="N28" s="15"/>
    </row>
    <row r="29" spans="1:14" s="5" customFormat="1" ht="12">
      <c r="A29" s="40" t="s">
        <v>37</v>
      </c>
      <c r="B29" s="40" t="s">
        <v>1553</v>
      </c>
      <c r="C29" s="97">
        <v>1351</v>
      </c>
      <c r="D29" s="97">
        <v>1325</v>
      </c>
      <c r="E29" s="97">
        <v>1113</v>
      </c>
      <c r="F29" s="97">
        <v>372</v>
      </c>
      <c r="G29" s="97">
        <v>1320</v>
      </c>
      <c r="H29" s="97">
        <v>789</v>
      </c>
      <c r="I29" s="98"/>
      <c r="J29" s="10">
        <f t="shared" si="0"/>
        <v>8.1059999999999999</v>
      </c>
      <c r="K29" s="11">
        <v>6</v>
      </c>
      <c r="L29" s="12">
        <f t="shared" si="1"/>
        <v>1.351</v>
      </c>
      <c r="M29" s="13">
        <f t="shared" si="2"/>
        <v>1351</v>
      </c>
      <c r="N29" s="15"/>
    </row>
    <row r="30" spans="1:14" s="5" customFormat="1" ht="12">
      <c r="A30" s="40" t="s">
        <v>37</v>
      </c>
      <c r="B30" s="40" t="s">
        <v>1886</v>
      </c>
      <c r="C30" s="97">
        <v>531</v>
      </c>
      <c r="D30" s="97">
        <v>520</v>
      </c>
      <c r="E30" s="97">
        <v>442</v>
      </c>
      <c r="F30" s="97">
        <v>108</v>
      </c>
      <c r="G30" s="97">
        <v>513</v>
      </c>
      <c r="H30" s="97">
        <v>248</v>
      </c>
      <c r="I30" s="98"/>
      <c r="J30" s="10">
        <f t="shared" si="0"/>
        <v>3.1859999999999999</v>
      </c>
      <c r="K30" s="11">
        <v>6</v>
      </c>
      <c r="L30" s="12">
        <f t="shared" si="1"/>
        <v>0.53100000000000003</v>
      </c>
      <c r="M30" s="13">
        <f t="shared" si="2"/>
        <v>531</v>
      </c>
      <c r="N30" s="15"/>
    </row>
    <row r="31" spans="1:14" s="5" customFormat="1" ht="12">
      <c r="A31" s="40" t="s">
        <v>814</v>
      </c>
      <c r="B31" s="40" t="s">
        <v>1395</v>
      </c>
      <c r="C31" s="97">
        <v>316</v>
      </c>
      <c r="D31" s="97">
        <v>302</v>
      </c>
      <c r="E31" s="97">
        <v>258</v>
      </c>
      <c r="F31" s="97">
        <v>79</v>
      </c>
      <c r="G31" s="97">
        <v>306</v>
      </c>
      <c r="H31" s="97">
        <v>174</v>
      </c>
      <c r="I31" s="98"/>
      <c r="J31" s="10">
        <f t="shared" si="0"/>
        <v>1.8959999999999999</v>
      </c>
      <c r="K31" s="11">
        <v>6</v>
      </c>
      <c r="L31" s="12">
        <f t="shared" si="1"/>
        <v>0.316</v>
      </c>
      <c r="M31" s="13">
        <f t="shared" si="2"/>
        <v>316</v>
      </c>
      <c r="N31" s="15"/>
    </row>
    <row r="32" spans="1:14" s="5" customFormat="1" ht="12">
      <c r="A32" s="40" t="s">
        <v>814</v>
      </c>
      <c r="B32" s="40" t="s">
        <v>1396</v>
      </c>
      <c r="C32" s="97">
        <v>369</v>
      </c>
      <c r="D32" s="97">
        <v>357</v>
      </c>
      <c r="E32" s="97">
        <v>316</v>
      </c>
      <c r="F32" s="97">
        <v>84</v>
      </c>
      <c r="G32" s="97">
        <v>363</v>
      </c>
      <c r="H32" s="97">
        <v>192</v>
      </c>
      <c r="I32" s="98"/>
      <c r="J32" s="10">
        <f t="shared" si="0"/>
        <v>2.214</v>
      </c>
      <c r="K32" s="11">
        <v>6</v>
      </c>
      <c r="L32" s="12">
        <f t="shared" si="1"/>
        <v>0.36899999999999999</v>
      </c>
      <c r="M32" s="13">
        <f t="shared" si="2"/>
        <v>369</v>
      </c>
      <c r="N32" s="15"/>
    </row>
    <row r="33" spans="1:14" s="5" customFormat="1" ht="12">
      <c r="A33" s="40" t="s">
        <v>814</v>
      </c>
      <c r="B33" s="40" t="s">
        <v>1630</v>
      </c>
      <c r="C33" s="97">
        <v>451</v>
      </c>
      <c r="D33" s="97">
        <v>443</v>
      </c>
      <c r="E33" s="97">
        <v>359</v>
      </c>
      <c r="F33" s="97">
        <v>114</v>
      </c>
      <c r="G33" s="97">
        <v>441</v>
      </c>
      <c r="H33" s="97">
        <v>311</v>
      </c>
      <c r="I33" s="98"/>
      <c r="J33" s="10">
        <f t="shared" si="0"/>
        <v>2.706</v>
      </c>
      <c r="K33" s="11">
        <v>6</v>
      </c>
      <c r="L33" s="12">
        <f t="shared" si="1"/>
        <v>0.45100000000000001</v>
      </c>
      <c r="M33" s="13">
        <f t="shared" si="2"/>
        <v>451</v>
      </c>
      <c r="N33" s="15"/>
    </row>
    <row r="34" spans="1:14" s="5" customFormat="1" ht="12">
      <c r="A34" s="40" t="s">
        <v>814</v>
      </c>
      <c r="B34" s="40" t="s">
        <v>1764</v>
      </c>
      <c r="C34" s="97">
        <v>895</v>
      </c>
      <c r="D34" s="97">
        <v>872</v>
      </c>
      <c r="E34" s="97">
        <v>766</v>
      </c>
      <c r="F34" s="97">
        <v>253</v>
      </c>
      <c r="G34" s="97">
        <v>880</v>
      </c>
      <c r="H34" s="97">
        <v>571</v>
      </c>
      <c r="I34" s="98"/>
      <c r="J34" s="10">
        <f t="shared" si="0"/>
        <v>5.37</v>
      </c>
      <c r="K34" s="11">
        <v>6</v>
      </c>
      <c r="L34" s="12">
        <f t="shared" si="1"/>
        <v>0.89500000000000002</v>
      </c>
      <c r="M34" s="13">
        <f t="shared" si="2"/>
        <v>895</v>
      </c>
      <c r="N34" s="15"/>
    </row>
    <row r="35" spans="1:14" s="5" customFormat="1" ht="12">
      <c r="A35" s="64" t="s">
        <v>1983</v>
      </c>
      <c r="B35" s="64" t="s">
        <v>237</v>
      </c>
      <c r="C35" s="19">
        <v>391</v>
      </c>
      <c r="D35" s="19">
        <v>370</v>
      </c>
      <c r="E35" s="19">
        <v>245</v>
      </c>
      <c r="F35" s="19">
        <v>98</v>
      </c>
      <c r="G35" s="19">
        <v>364</v>
      </c>
      <c r="H35" s="19">
        <v>204</v>
      </c>
      <c r="I35" s="101"/>
      <c r="J35" s="17">
        <v>7.4219999999999997</v>
      </c>
      <c r="K35" s="17">
        <v>6</v>
      </c>
      <c r="L35" s="18">
        <v>1.2370000000000001</v>
      </c>
      <c r="M35" s="19">
        <v>1237</v>
      </c>
      <c r="N35" s="15"/>
    </row>
    <row r="36" spans="1:14" s="5" customFormat="1" ht="12">
      <c r="A36" s="64" t="s">
        <v>1983</v>
      </c>
      <c r="B36" s="64" t="s">
        <v>278</v>
      </c>
      <c r="C36" s="19">
        <v>324</v>
      </c>
      <c r="D36" s="19">
        <v>315</v>
      </c>
      <c r="E36" s="19">
        <v>258</v>
      </c>
      <c r="F36" s="19">
        <v>70</v>
      </c>
      <c r="G36" s="19">
        <v>316</v>
      </c>
      <c r="H36" s="19">
        <v>185</v>
      </c>
      <c r="I36" s="101"/>
      <c r="J36" s="17">
        <v>7.9320000000000004</v>
      </c>
      <c r="K36" s="17">
        <v>6</v>
      </c>
      <c r="L36" s="18">
        <v>1.3220000000000001</v>
      </c>
      <c r="M36" s="19">
        <v>1322</v>
      </c>
      <c r="N36" s="15"/>
    </row>
    <row r="37" spans="1:14" s="5" customFormat="1" ht="12">
      <c r="A37" s="64" t="s">
        <v>1983</v>
      </c>
      <c r="B37" s="64" t="s">
        <v>308</v>
      </c>
      <c r="C37" s="19">
        <v>536</v>
      </c>
      <c r="D37" s="19">
        <v>511</v>
      </c>
      <c r="E37" s="19">
        <v>407</v>
      </c>
      <c r="F37" s="19">
        <v>125</v>
      </c>
      <c r="G37" s="19">
        <v>513</v>
      </c>
      <c r="H37" s="19">
        <v>280</v>
      </c>
      <c r="I37" s="101"/>
      <c r="J37" s="17">
        <v>2.754</v>
      </c>
      <c r="K37" s="17">
        <v>6</v>
      </c>
      <c r="L37" s="18">
        <v>0.45900000000000002</v>
      </c>
      <c r="M37" s="19">
        <v>459</v>
      </c>
      <c r="N37" s="15"/>
    </row>
    <row r="38" spans="1:14" s="5" customFormat="1" ht="12">
      <c r="A38" s="64" t="s">
        <v>1983</v>
      </c>
      <c r="B38" s="64" t="s">
        <v>460</v>
      </c>
      <c r="C38" s="19">
        <v>455</v>
      </c>
      <c r="D38" s="19">
        <v>417</v>
      </c>
      <c r="E38" s="19">
        <v>296</v>
      </c>
      <c r="F38" s="19">
        <v>110</v>
      </c>
      <c r="G38" s="19">
        <v>438</v>
      </c>
      <c r="H38" s="19">
        <v>253</v>
      </c>
      <c r="I38" s="101"/>
      <c r="J38" s="17">
        <v>2.1360000000000001</v>
      </c>
      <c r="K38" s="17">
        <v>6</v>
      </c>
      <c r="L38" s="18">
        <v>0.35599999999999998</v>
      </c>
      <c r="M38" s="19">
        <v>356</v>
      </c>
      <c r="N38" s="15"/>
    </row>
    <row r="39" spans="1:14" s="5" customFormat="1" ht="12">
      <c r="A39" s="40" t="s">
        <v>1983</v>
      </c>
      <c r="B39" s="40" t="s">
        <v>467</v>
      </c>
      <c r="C39" s="97">
        <v>481</v>
      </c>
      <c r="D39" s="97">
        <v>473</v>
      </c>
      <c r="E39" s="97">
        <v>357</v>
      </c>
      <c r="F39" s="97">
        <v>104</v>
      </c>
      <c r="G39" s="97">
        <v>473</v>
      </c>
      <c r="H39" s="97">
        <v>271</v>
      </c>
      <c r="I39" s="98"/>
      <c r="J39" s="10">
        <f>+K39*L39</f>
        <v>2.8860000000000001</v>
      </c>
      <c r="K39" s="11">
        <v>6</v>
      </c>
      <c r="L39" s="12">
        <f>+M39/1000</f>
        <v>0.48099999999999998</v>
      </c>
      <c r="M39" s="13">
        <f>+C39</f>
        <v>481</v>
      </c>
      <c r="N39" s="15"/>
    </row>
    <row r="40" spans="1:14" s="5" customFormat="1" ht="12">
      <c r="A40" s="64" t="s">
        <v>1983</v>
      </c>
      <c r="B40" s="64" t="s">
        <v>468</v>
      </c>
      <c r="C40" s="19">
        <v>317</v>
      </c>
      <c r="D40" s="19">
        <v>309</v>
      </c>
      <c r="E40" s="19">
        <v>241</v>
      </c>
      <c r="F40" s="19">
        <v>91</v>
      </c>
      <c r="G40" s="19">
        <v>310</v>
      </c>
      <c r="H40" s="19">
        <v>187</v>
      </c>
      <c r="I40" s="101"/>
      <c r="J40" s="17">
        <v>2.286</v>
      </c>
      <c r="K40" s="17">
        <v>6</v>
      </c>
      <c r="L40" s="18">
        <v>0.38100000000000001</v>
      </c>
      <c r="M40" s="19">
        <v>381</v>
      </c>
      <c r="N40" s="15"/>
    </row>
    <row r="41" spans="1:14" s="5" customFormat="1" ht="12">
      <c r="A41" s="64" t="s">
        <v>1983</v>
      </c>
      <c r="B41" s="64" t="s">
        <v>503</v>
      </c>
      <c r="C41" s="19">
        <v>466</v>
      </c>
      <c r="D41" s="19">
        <v>446</v>
      </c>
      <c r="E41" s="19">
        <v>320</v>
      </c>
      <c r="F41" s="19">
        <v>108</v>
      </c>
      <c r="G41" s="19">
        <v>452</v>
      </c>
      <c r="H41" s="19">
        <v>250</v>
      </c>
      <c r="I41" s="101"/>
      <c r="J41" s="17">
        <v>10.122</v>
      </c>
      <c r="K41" s="17">
        <v>6</v>
      </c>
      <c r="L41" s="18">
        <v>1.6870000000000001</v>
      </c>
      <c r="M41" s="19">
        <v>1687</v>
      </c>
      <c r="N41" s="15"/>
    </row>
    <row r="42" spans="1:14" s="5" customFormat="1" ht="12">
      <c r="A42" s="64" t="s">
        <v>1983</v>
      </c>
      <c r="B42" s="64" t="s">
        <v>505</v>
      </c>
      <c r="C42" s="19">
        <v>374</v>
      </c>
      <c r="D42" s="19">
        <v>358</v>
      </c>
      <c r="E42" s="19">
        <v>317</v>
      </c>
      <c r="F42" s="19">
        <v>93</v>
      </c>
      <c r="G42" s="19">
        <v>360</v>
      </c>
      <c r="H42" s="19">
        <v>223</v>
      </c>
      <c r="I42" s="101"/>
      <c r="J42" s="17">
        <v>10.673999999999999</v>
      </c>
      <c r="K42" s="17">
        <v>6</v>
      </c>
      <c r="L42" s="18">
        <v>1.7789999999999999</v>
      </c>
      <c r="M42" s="19">
        <v>1779</v>
      </c>
      <c r="N42" s="15"/>
    </row>
    <row r="43" spans="1:14" s="5" customFormat="1" ht="12">
      <c r="A43" s="64" t="s">
        <v>1983</v>
      </c>
      <c r="B43" s="64" t="s">
        <v>534</v>
      </c>
      <c r="C43" s="19">
        <v>358</v>
      </c>
      <c r="D43" s="19">
        <v>348</v>
      </c>
      <c r="E43" s="19">
        <v>280</v>
      </c>
      <c r="F43" s="19">
        <v>97</v>
      </c>
      <c r="G43" s="19">
        <v>340</v>
      </c>
      <c r="H43" s="19">
        <v>248</v>
      </c>
      <c r="I43" s="101"/>
      <c r="J43" s="17">
        <v>6.5519999999999996</v>
      </c>
      <c r="K43" s="17">
        <v>6</v>
      </c>
      <c r="L43" s="18">
        <v>1.0920000000000001</v>
      </c>
      <c r="M43" s="19">
        <v>1092</v>
      </c>
      <c r="N43" s="15"/>
    </row>
    <row r="44" spans="1:14" s="5" customFormat="1" ht="12">
      <c r="A44" s="64" t="s">
        <v>1983</v>
      </c>
      <c r="B44" s="64" t="s">
        <v>542</v>
      </c>
      <c r="C44" s="19">
        <v>372</v>
      </c>
      <c r="D44" s="19">
        <v>356</v>
      </c>
      <c r="E44" s="19">
        <v>271</v>
      </c>
      <c r="F44" s="19">
        <v>105</v>
      </c>
      <c r="G44" s="19">
        <v>356</v>
      </c>
      <c r="H44" s="19">
        <v>213</v>
      </c>
      <c r="I44" s="101"/>
      <c r="J44" s="17">
        <v>4.0679999999999996</v>
      </c>
      <c r="K44" s="17">
        <v>6</v>
      </c>
      <c r="L44" s="18">
        <v>0.67800000000000005</v>
      </c>
      <c r="M44" s="19">
        <v>678</v>
      </c>
      <c r="N44" s="15"/>
    </row>
    <row r="45" spans="1:14" s="5" customFormat="1" ht="12">
      <c r="A45" s="64" t="s">
        <v>1983</v>
      </c>
      <c r="B45" s="64" t="s">
        <v>546</v>
      </c>
      <c r="C45" s="19">
        <v>316</v>
      </c>
      <c r="D45" s="19">
        <v>306</v>
      </c>
      <c r="E45" s="19">
        <v>249</v>
      </c>
      <c r="F45" s="19">
        <v>70</v>
      </c>
      <c r="G45" s="19">
        <v>305</v>
      </c>
      <c r="H45" s="19">
        <v>164</v>
      </c>
      <c r="I45" s="101"/>
      <c r="J45" s="17">
        <v>4.3440000000000003</v>
      </c>
      <c r="K45" s="17">
        <v>6</v>
      </c>
      <c r="L45" s="18">
        <v>0.72399999999999998</v>
      </c>
      <c r="M45" s="19">
        <v>724</v>
      </c>
      <c r="N45" s="15"/>
    </row>
    <row r="46" spans="1:14" s="5" customFormat="1" ht="12">
      <c r="A46" s="40" t="s">
        <v>1983</v>
      </c>
      <c r="B46" s="40" t="s">
        <v>579</v>
      </c>
      <c r="C46" s="97">
        <v>641</v>
      </c>
      <c r="D46" s="97">
        <v>628</v>
      </c>
      <c r="E46" s="97">
        <v>470</v>
      </c>
      <c r="F46" s="97">
        <v>153</v>
      </c>
      <c r="G46" s="97">
        <v>638</v>
      </c>
      <c r="H46" s="97">
        <v>361</v>
      </c>
      <c r="I46" s="98"/>
      <c r="J46" s="10">
        <f>+K46*L46</f>
        <v>3.8460000000000001</v>
      </c>
      <c r="K46" s="11">
        <v>6</v>
      </c>
      <c r="L46" s="12">
        <f>+M46/1000</f>
        <v>0.64100000000000001</v>
      </c>
      <c r="M46" s="13">
        <f>+C46</f>
        <v>641</v>
      </c>
      <c r="N46" s="15"/>
    </row>
    <row r="47" spans="1:14" s="5" customFormat="1" ht="12">
      <c r="A47" s="64" t="s">
        <v>1983</v>
      </c>
      <c r="B47" s="64" t="s">
        <v>605</v>
      </c>
      <c r="C47" s="19">
        <v>438</v>
      </c>
      <c r="D47" s="19">
        <v>425</v>
      </c>
      <c r="E47" s="19">
        <v>327</v>
      </c>
      <c r="F47" s="19">
        <v>106</v>
      </c>
      <c r="G47" s="19">
        <v>415</v>
      </c>
      <c r="H47" s="19">
        <v>251</v>
      </c>
      <c r="I47" s="101"/>
      <c r="J47" s="17">
        <v>1.8120000000000001</v>
      </c>
      <c r="K47" s="17">
        <v>6</v>
      </c>
      <c r="L47" s="18">
        <v>0.30199999999999999</v>
      </c>
      <c r="M47" s="19">
        <v>302</v>
      </c>
      <c r="N47" s="15"/>
    </row>
    <row r="48" spans="1:14" s="5" customFormat="1" ht="12">
      <c r="A48" s="40" t="s">
        <v>1983</v>
      </c>
      <c r="B48" s="40" t="s">
        <v>611</v>
      </c>
      <c r="C48" s="97">
        <v>492</v>
      </c>
      <c r="D48" s="97">
        <v>482</v>
      </c>
      <c r="E48" s="97">
        <v>373</v>
      </c>
      <c r="F48" s="97">
        <v>145</v>
      </c>
      <c r="G48" s="97">
        <v>485</v>
      </c>
      <c r="H48" s="97">
        <v>313</v>
      </c>
      <c r="I48" s="98"/>
      <c r="J48" s="10">
        <f>+K48*L48</f>
        <v>2.952</v>
      </c>
      <c r="K48" s="11">
        <v>6</v>
      </c>
      <c r="L48" s="12">
        <f>+M48/1000</f>
        <v>0.49199999999999999</v>
      </c>
      <c r="M48" s="13">
        <f>+C48</f>
        <v>492</v>
      </c>
      <c r="N48" s="15"/>
    </row>
    <row r="49" spans="1:14" s="5" customFormat="1" ht="12">
      <c r="A49" s="40" t="s">
        <v>1983</v>
      </c>
      <c r="B49" s="40" t="s">
        <v>662</v>
      </c>
      <c r="C49" s="97">
        <v>977</v>
      </c>
      <c r="D49" s="97">
        <v>962</v>
      </c>
      <c r="E49" s="97">
        <v>699</v>
      </c>
      <c r="F49" s="97">
        <v>214</v>
      </c>
      <c r="G49" s="97">
        <v>965</v>
      </c>
      <c r="H49" s="97">
        <v>540</v>
      </c>
      <c r="I49" s="98"/>
      <c r="J49" s="10">
        <f>+K49*L49</f>
        <v>5.8620000000000001</v>
      </c>
      <c r="K49" s="11">
        <v>6</v>
      </c>
      <c r="L49" s="12">
        <f>+M49/1000</f>
        <v>0.97699999999999998</v>
      </c>
      <c r="M49" s="13">
        <f>+C49</f>
        <v>977</v>
      </c>
      <c r="N49" s="15"/>
    </row>
    <row r="50" spans="1:14" s="5" customFormat="1" ht="12">
      <c r="A50" s="64" t="s">
        <v>1983</v>
      </c>
      <c r="B50" s="64" t="s">
        <v>666</v>
      </c>
      <c r="C50" s="19">
        <v>463</v>
      </c>
      <c r="D50" s="19">
        <v>444</v>
      </c>
      <c r="E50" s="19">
        <v>351</v>
      </c>
      <c r="F50" s="19">
        <v>128</v>
      </c>
      <c r="G50" s="19">
        <v>460</v>
      </c>
      <c r="H50" s="19">
        <v>274</v>
      </c>
      <c r="I50" s="101"/>
      <c r="J50" s="17">
        <v>5.3940000000000001</v>
      </c>
      <c r="K50" s="17">
        <v>6</v>
      </c>
      <c r="L50" s="18">
        <v>0.89900000000000002</v>
      </c>
      <c r="M50" s="19">
        <v>899</v>
      </c>
      <c r="N50" s="15"/>
    </row>
    <row r="51" spans="1:14" s="5" customFormat="1" ht="12">
      <c r="A51" s="64" t="s">
        <v>1983</v>
      </c>
      <c r="B51" s="64" t="s">
        <v>698</v>
      </c>
      <c r="C51" s="19">
        <v>768</v>
      </c>
      <c r="D51" s="19">
        <v>749</v>
      </c>
      <c r="E51" s="19">
        <v>606</v>
      </c>
      <c r="F51" s="19">
        <v>196</v>
      </c>
      <c r="G51" s="19">
        <v>731</v>
      </c>
      <c r="H51" s="19">
        <v>440</v>
      </c>
      <c r="I51" s="101"/>
      <c r="J51" s="17">
        <v>3.9359999999999999</v>
      </c>
      <c r="K51" s="17">
        <v>6</v>
      </c>
      <c r="L51" s="18">
        <v>0.65600000000000003</v>
      </c>
      <c r="M51" s="19">
        <v>656</v>
      </c>
      <c r="N51" s="15"/>
    </row>
    <row r="52" spans="1:14" s="5" customFormat="1" ht="12">
      <c r="A52" s="40" t="s">
        <v>1983</v>
      </c>
      <c r="B52" s="40" t="s">
        <v>706</v>
      </c>
      <c r="C52" s="97">
        <v>481</v>
      </c>
      <c r="D52" s="97">
        <v>466</v>
      </c>
      <c r="E52" s="97">
        <v>364</v>
      </c>
      <c r="F52" s="97">
        <v>136</v>
      </c>
      <c r="G52" s="97">
        <v>459</v>
      </c>
      <c r="H52" s="97">
        <v>291</v>
      </c>
      <c r="I52" s="98"/>
      <c r="J52" s="10">
        <f>+K52*L52</f>
        <v>2.8860000000000001</v>
      </c>
      <c r="K52" s="11">
        <v>6</v>
      </c>
      <c r="L52" s="12">
        <f>+M52/1000</f>
        <v>0.48099999999999998</v>
      </c>
      <c r="M52" s="13">
        <f>+C52</f>
        <v>481</v>
      </c>
      <c r="N52" s="15"/>
    </row>
    <row r="53" spans="1:14" s="5" customFormat="1" ht="12">
      <c r="A53" s="40" t="s">
        <v>1983</v>
      </c>
      <c r="B53" s="40" t="s">
        <v>726</v>
      </c>
      <c r="C53" s="97">
        <v>502</v>
      </c>
      <c r="D53" s="97">
        <v>495</v>
      </c>
      <c r="E53" s="97">
        <v>395</v>
      </c>
      <c r="F53" s="97">
        <v>165</v>
      </c>
      <c r="G53" s="97">
        <v>482</v>
      </c>
      <c r="H53" s="97">
        <v>345</v>
      </c>
      <c r="I53" s="98"/>
      <c r="J53" s="10">
        <f>+K53*L53</f>
        <v>3.012</v>
      </c>
      <c r="K53" s="11">
        <v>6</v>
      </c>
      <c r="L53" s="12">
        <f>+M53/1000</f>
        <v>0.502</v>
      </c>
      <c r="M53" s="13">
        <f>+C53</f>
        <v>502</v>
      </c>
      <c r="N53" s="15"/>
    </row>
    <row r="54" spans="1:14" s="5" customFormat="1" ht="12">
      <c r="A54" s="40" t="s">
        <v>1983</v>
      </c>
      <c r="B54" s="40" t="s">
        <v>777</v>
      </c>
      <c r="C54" s="97">
        <v>949</v>
      </c>
      <c r="D54" s="97">
        <v>935</v>
      </c>
      <c r="E54" s="97">
        <v>788</v>
      </c>
      <c r="F54" s="97">
        <v>220</v>
      </c>
      <c r="G54" s="97">
        <v>935</v>
      </c>
      <c r="H54" s="97">
        <v>524</v>
      </c>
      <c r="I54" s="98"/>
      <c r="J54" s="10">
        <f>+K54*L54</f>
        <v>5.694</v>
      </c>
      <c r="K54" s="11">
        <v>6</v>
      </c>
      <c r="L54" s="12">
        <f>+M54/1000</f>
        <v>0.94899999999999995</v>
      </c>
      <c r="M54" s="13">
        <f>+C54</f>
        <v>949</v>
      </c>
      <c r="N54" s="15"/>
    </row>
    <row r="55" spans="1:14" s="5" customFormat="1" ht="12">
      <c r="A55" s="64" t="s">
        <v>1983</v>
      </c>
      <c r="B55" s="64" t="s">
        <v>887</v>
      </c>
      <c r="C55" s="19">
        <v>519</v>
      </c>
      <c r="D55" s="19">
        <v>482</v>
      </c>
      <c r="E55" s="19">
        <v>379</v>
      </c>
      <c r="F55" s="19">
        <v>158</v>
      </c>
      <c r="G55" s="19">
        <v>492</v>
      </c>
      <c r="H55" s="19">
        <v>318</v>
      </c>
      <c r="I55" s="101"/>
      <c r="J55" s="17">
        <v>5.532</v>
      </c>
      <c r="K55" s="17">
        <v>6</v>
      </c>
      <c r="L55" s="18">
        <v>0.92200000000000004</v>
      </c>
      <c r="M55" s="19">
        <v>922</v>
      </c>
      <c r="N55" s="15"/>
    </row>
    <row r="56" spans="1:14" s="5" customFormat="1" ht="12">
      <c r="A56" s="40" t="s">
        <v>1983</v>
      </c>
      <c r="B56" s="40" t="s">
        <v>902</v>
      </c>
      <c r="C56" s="97">
        <v>370</v>
      </c>
      <c r="D56" s="97">
        <v>368</v>
      </c>
      <c r="E56" s="97">
        <v>309</v>
      </c>
      <c r="F56" s="97">
        <v>113</v>
      </c>
      <c r="G56" s="97">
        <v>360</v>
      </c>
      <c r="H56" s="97">
        <v>247</v>
      </c>
      <c r="I56" s="98"/>
      <c r="J56" s="10">
        <f>+K56*L56</f>
        <v>2.2199999999999998</v>
      </c>
      <c r="K56" s="11">
        <v>6</v>
      </c>
      <c r="L56" s="12">
        <f>+M56/1000</f>
        <v>0.37</v>
      </c>
      <c r="M56" s="13">
        <f>+C56</f>
        <v>370</v>
      </c>
      <c r="N56" s="15"/>
    </row>
    <row r="57" spans="1:14" s="5" customFormat="1" ht="12">
      <c r="A57" s="40" t="s">
        <v>1983</v>
      </c>
      <c r="B57" s="40" t="s">
        <v>906</v>
      </c>
      <c r="C57" s="97">
        <v>313</v>
      </c>
      <c r="D57" s="97">
        <v>298</v>
      </c>
      <c r="E57" s="97">
        <v>197</v>
      </c>
      <c r="F57" s="97">
        <v>83</v>
      </c>
      <c r="G57" s="97">
        <v>304</v>
      </c>
      <c r="H57" s="97">
        <v>180</v>
      </c>
      <c r="I57" s="98"/>
      <c r="J57" s="10">
        <f>+K57*L57</f>
        <v>1.8780000000000001</v>
      </c>
      <c r="K57" s="11">
        <v>6</v>
      </c>
      <c r="L57" s="12">
        <f>+M57/1000</f>
        <v>0.313</v>
      </c>
      <c r="M57" s="13">
        <f>+C57</f>
        <v>313</v>
      </c>
      <c r="N57" s="15"/>
    </row>
    <row r="58" spans="1:14" s="5" customFormat="1" ht="12">
      <c r="A58" s="40" t="s">
        <v>1983</v>
      </c>
      <c r="B58" s="40" t="s">
        <v>925</v>
      </c>
      <c r="C58" s="97">
        <v>332</v>
      </c>
      <c r="D58" s="97">
        <v>326</v>
      </c>
      <c r="E58" s="97">
        <v>239</v>
      </c>
      <c r="F58" s="97">
        <v>96</v>
      </c>
      <c r="G58" s="97">
        <v>323</v>
      </c>
      <c r="H58" s="97">
        <v>207</v>
      </c>
      <c r="I58" s="98"/>
      <c r="J58" s="10">
        <f>+K58*L58</f>
        <v>1.992</v>
      </c>
      <c r="K58" s="11">
        <v>6</v>
      </c>
      <c r="L58" s="12">
        <f>+M58/1000</f>
        <v>0.33200000000000002</v>
      </c>
      <c r="M58" s="13">
        <f>+C58</f>
        <v>332</v>
      </c>
      <c r="N58" s="15"/>
    </row>
    <row r="59" spans="1:14" s="5" customFormat="1" ht="12">
      <c r="A59" s="64" t="s">
        <v>1983</v>
      </c>
      <c r="B59" s="64" t="s">
        <v>926</v>
      </c>
      <c r="C59" s="19">
        <v>1103</v>
      </c>
      <c r="D59" s="19">
        <v>1073</v>
      </c>
      <c r="E59" s="19">
        <v>883</v>
      </c>
      <c r="F59" s="19">
        <v>305</v>
      </c>
      <c r="G59" s="19">
        <v>1089</v>
      </c>
      <c r="H59" s="19">
        <v>699</v>
      </c>
      <c r="I59" s="101"/>
      <c r="J59" s="17">
        <v>6.48</v>
      </c>
      <c r="K59" s="17">
        <v>6</v>
      </c>
      <c r="L59" s="18">
        <v>1.08</v>
      </c>
      <c r="M59" s="19">
        <v>1080</v>
      </c>
      <c r="N59" s="15"/>
    </row>
    <row r="60" spans="1:14" s="5" customFormat="1" ht="12">
      <c r="A60" s="40" t="s">
        <v>1983</v>
      </c>
      <c r="B60" s="40" t="s">
        <v>947</v>
      </c>
      <c r="C60" s="97">
        <v>443</v>
      </c>
      <c r="D60" s="97">
        <v>430</v>
      </c>
      <c r="E60" s="97">
        <v>340</v>
      </c>
      <c r="F60" s="97">
        <v>106</v>
      </c>
      <c r="G60" s="97">
        <v>424</v>
      </c>
      <c r="H60" s="97">
        <v>248</v>
      </c>
      <c r="I60" s="98"/>
      <c r="J60" s="10">
        <f>+K60*L60</f>
        <v>2.6579999999999999</v>
      </c>
      <c r="K60" s="11">
        <v>6</v>
      </c>
      <c r="L60" s="12">
        <f>+M60/1000</f>
        <v>0.443</v>
      </c>
      <c r="M60" s="13">
        <f>+C60</f>
        <v>443</v>
      </c>
      <c r="N60" s="15"/>
    </row>
    <row r="61" spans="1:14" s="5" customFormat="1" ht="12">
      <c r="A61" s="40" t="s">
        <v>1983</v>
      </c>
      <c r="B61" s="40" t="s">
        <v>948</v>
      </c>
      <c r="C61" s="97">
        <v>981</v>
      </c>
      <c r="D61" s="97">
        <v>962</v>
      </c>
      <c r="E61" s="97">
        <v>769</v>
      </c>
      <c r="F61" s="97">
        <v>268</v>
      </c>
      <c r="G61" s="97">
        <v>957</v>
      </c>
      <c r="H61" s="97">
        <v>626</v>
      </c>
      <c r="I61" s="98"/>
      <c r="J61" s="10">
        <f>+K61*L61</f>
        <v>5.8860000000000001</v>
      </c>
      <c r="K61" s="11">
        <v>6</v>
      </c>
      <c r="L61" s="12">
        <f>+M61/1000</f>
        <v>0.98099999999999998</v>
      </c>
      <c r="M61" s="13">
        <f>+C61</f>
        <v>981</v>
      </c>
      <c r="N61" s="15"/>
    </row>
    <row r="62" spans="1:14" s="5" customFormat="1" ht="12">
      <c r="A62" s="40" t="s">
        <v>1983</v>
      </c>
      <c r="B62" s="40" t="s">
        <v>949</v>
      </c>
      <c r="C62" s="97">
        <v>540</v>
      </c>
      <c r="D62" s="97">
        <v>525</v>
      </c>
      <c r="E62" s="97">
        <v>379</v>
      </c>
      <c r="F62" s="97">
        <v>146</v>
      </c>
      <c r="G62" s="97">
        <v>529</v>
      </c>
      <c r="H62" s="97">
        <v>308</v>
      </c>
      <c r="I62" s="98"/>
      <c r="J62" s="10">
        <f>+K62*L62</f>
        <v>3.24</v>
      </c>
      <c r="K62" s="11">
        <v>6</v>
      </c>
      <c r="L62" s="12">
        <f>+M62/1000</f>
        <v>0.54</v>
      </c>
      <c r="M62" s="13">
        <f>+C62</f>
        <v>540</v>
      </c>
      <c r="N62" s="15"/>
    </row>
    <row r="63" spans="1:14" s="5" customFormat="1" ht="12">
      <c r="A63" s="64" t="s">
        <v>1983</v>
      </c>
      <c r="B63" s="64" t="s">
        <v>956</v>
      </c>
      <c r="C63" s="19">
        <v>396</v>
      </c>
      <c r="D63" s="19">
        <v>381</v>
      </c>
      <c r="E63" s="19">
        <v>331</v>
      </c>
      <c r="F63" s="19">
        <v>127</v>
      </c>
      <c r="G63" s="19">
        <v>383</v>
      </c>
      <c r="H63" s="19">
        <v>272</v>
      </c>
      <c r="I63" s="101"/>
      <c r="J63" s="17">
        <v>8.7959999999999994</v>
      </c>
      <c r="K63" s="17">
        <v>6</v>
      </c>
      <c r="L63" s="18">
        <v>1.466</v>
      </c>
      <c r="M63" s="19">
        <v>1466</v>
      </c>
      <c r="N63" s="15"/>
    </row>
    <row r="64" spans="1:14" s="5" customFormat="1" ht="12">
      <c r="A64" s="40" t="s">
        <v>1983</v>
      </c>
      <c r="B64" s="40" t="s">
        <v>1012</v>
      </c>
      <c r="C64" s="97">
        <v>538</v>
      </c>
      <c r="D64" s="97">
        <v>518</v>
      </c>
      <c r="E64" s="97">
        <v>405</v>
      </c>
      <c r="F64" s="97">
        <v>96</v>
      </c>
      <c r="G64" s="97">
        <v>532</v>
      </c>
      <c r="H64" s="97">
        <v>277</v>
      </c>
      <c r="I64" s="98"/>
      <c r="J64" s="10">
        <f t="shared" ref="J64:J127" si="3">+K64*L64</f>
        <v>3.2280000000000002</v>
      </c>
      <c r="K64" s="11">
        <v>6</v>
      </c>
      <c r="L64" s="12">
        <f t="shared" ref="L64:L127" si="4">+M64/1000</f>
        <v>0.53800000000000003</v>
      </c>
      <c r="M64" s="13">
        <f t="shared" ref="M64:M127" si="5">+C64</f>
        <v>538</v>
      </c>
      <c r="N64" s="15"/>
    </row>
    <row r="65" spans="1:14" s="5" customFormat="1" ht="12">
      <c r="A65" s="40" t="s">
        <v>1983</v>
      </c>
      <c r="B65" s="40" t="s">
        <v>1048</v>
      </c>
      <c r="C65" s="97">
        <v>351</v>
      </c>
      <c r="D65" s="97">
        <v>345</v>
      </c>
      <c r="E65" s="97">
        <v>287</v>
      </c>
      <c r="F65" s="97">
        <v>81</v>
      </c>
      <c r="G65" s="97">
        <v>337</v>
      </c>
      <c r="H65" s="97">
        <v>198</v>
      </c>
      <c r="I65" s="98"/>
      <c r="J65" s="10">
        <f t="shared" si="3"/>
        <v>2.1059999999999999</v>
      </c>
      <c r="K65" s="11">
        <v>6</v>
      </c>
      <c r="L65" s="12">
        <f t="shared" si="4"/>
        <v>0.35099999999999998</v>
      </c>
      <c r="M65" s="13">
        <f t="shared" si="5"/>
        <v>351</v>
      </c>
      <c r="N65" s="15"/>
    </row>
    <row r="66" spans="1:14" s="5" customFormat="1" ht="12">
      <c r="A66" s="40" t="s">
        <v>1983</v>
      </c>
      <c r="B66" s="40" t="s">
        <v>1092</v>
      </c>
      <c r="C66" s="97">
        <v>428</v>
      </c>
      <c r="D66" s="97">
        <v>423</v>
      </c>
      <c r="E66" s="97">
        <v>333</v>
      </c>
      <c r="F66" s="97">
        <v>126</v>
      </c>
      <c r="G66" s="97">
        <v>428</v>
      </c>
      <c r="H66" s="97">
        <v>265</v>
      </c>
      <c r="I66" s="98"/>
      <c r="J66" s="10">
        <f t="shared" si="3"/>
        <v>2.5680000000000001</v>
      </c>
      <c r="K66" s="11">
        <v>6</v>
      </c>
      <c r="L66" s="12">
        <f t="shared" si="4"/>
        <v>0.42799999999999999</v>
      </c>
      <c r="M66" s="13">
        <f t="shared" si="5"/>
        <v>428</v>
      </c>
      <c r="N66" s="15"/>
    </row>
    <row r="67" spans="1:14" s="5" customFormat="1" ht="12">
      <c r="A67" s="40" t="s">
        <v>1983</v>
      </c>
      <c r="B67" s="40" t="s">
        <v>1114</v>
      </c>
      <c r="C67" s="97">
        <v>997</v>
      </c>
      <c r="D67" s="97">
        <v>985</v>
      </c>
      <c r="E67" s="97">
        <v>849</v>
      </c>
      <c r="F67" s="97">
        <v>251</v>
      </c>
      <c r="G67" s="97">
        <v>980</v>
      </c>
      <c r="H67" s="97">
        <v>586</v>
      </c>
      <c r="I67" s="98"/>
      <c r="J67" s="10">
        <f t="shared" si="3"/>
        <v>5.9820000000000002</v>
      </c>
      <c r="K67" s="11">
        <v>6</v>
      </c>
      <c r="L67" s="12">
        <f t="shared" si="4"/>
        <v>0.997</v>
      </c>
      <c r="M67" s="13">
        <f t="shared" si="5"/>
        <v>997</v>
      </c>
      <c r="N67" s="15"/>
    </row>
    <row r="68" spans="1:14" s="5" customFormat="1" ht="12">
      <c r="A68" s="40" t="s">
        <v>1983</v>
      </c>
      <c r="B68" s="40" t="s">
        <v>1125</v>
      </c>
      <c r="C68" s="97">
        <v>686</v>
      </c>
      <c r="D68" s="97">
        <v>667</v>
      </c>
      <c r="E68" s="97">
        <v>559</v>
      </c>
      <c r="F68" s="97">
        <v>179</v>
      </c>
      <c r="G68" s="97">
        <v>677</v>
      </c>
      <c r="H68" s="97">
        <v>394</v>
      </c>
      <c r="I68" s="98"/>
      <c r="J68" s="10">
        <f t="shared" si="3"/>
        <v>4.1160000000000005</v>
      </c>
      <c r="K68" s="11">
        <v>6</v>
      </c>
      <c r="L68" s="12">
        <f t="shared" si="4"/>
        <v>0.68600000000000005</v>
      </c>
      <c r="M68" s="13">
        <f t="shared" si="5"/>
        <v>686</v>
      </c>
      <c r="N68" s="15"/>
    </row>
    <row r="69" spans="1:14" s="5" customFormat="1" ht="12">
      <c r="A69" s="40" t="s">
        <v>1983</v>
      </c>
      <c r="B69" s="40" t="s">
        <v>1132</v>
      </c>
      <c r="C69" s="97">
        <v>391</v>
      </c>
      <c r="D69" s="97">
        <v>382</v>
      </c>
      <c r="E69" s="97">
        <v>283</v>
      </c>
      <c r="F69" s="97">
        <v>92</v>
      </c>
      <c r="G69" s="97">
        <v>377</v>
      </c>
      <c r="H69" s="97">
        <v>215</v>
      </c>
      <c r="I69" s="98"/>
      <c r="J69" s="10">
        <f t="shared" si="3"/>
        <v>2.3460000000000001</v>
      </c>
      <c r="K69" s="11">
        <v>6</v>
      </c>
      <c r="L69" s="12">
        <f t="shared" si="4"/>
        <v>0.39100000000000001</v>
      </c>
      <c r="M69" s="13">
        <f t="shared" si="5"/>
        <v>391</v>
      </c>
      <c r="N69" s="15"/>
    </row>
    <row r="70" spans="1:14" s="5" customFormat="1" ht="12">
      <c r="A70" s="40" t="s">
        <v>1983</v>
      </c>
      <c r="B70" s="40" t="s">
        <v>1146</v>
      </c>
      <c r="C70" s="97">
        <v>642</v>
      </c>
      <c r="D70" s="97">
        <v>618</v>
      </c>
      <c r="E70" s="97">
        <v>465</v>
      </c>
      <c r="F70" s="97">
        <v>143</v>
      </c>
      <c r="G70" s="97">
        <v>628</v>
      </c>
      <c r="H70" s="97">
        <v>336</v>
      </c>
      <c r="I70" s="98"/>
      <c r="J70" s="10">
        <f t="shared" si="3"/>
        <v>3.8520000000000003</v>
      </c>
      <c r="K70" s="11">
        <v>6</v>
      </c>
      <c r="L70" s="12">
        <f t="shared" si="4"/>
        <v>0.64200000000000002</v>
      </c>
      <c r="M70" s="13">
        <f t="shared" si="5"/>
        <v>642</v>
      </c>
      <c r="N70" s="15"/>
    </row>
    <row r="71" spans="1:14" s="5" customFormat="1" ht="12">
      <c r="A71" s="40" t="s">
        <v>1983</v>
      </c>
      <c r="B71" s="40" t="s">
        <v>1212</v>
      </c>
      <c r="C71" s="97">
        <v>426</v>
      </c>
      <c r="D71" s="97">
        <v>418</v>
      </c>
      <c r="E71" s="97">
        <v>331</v>
      </c>
      <c r="F71" s="97">
        <v>111</v>
      </c>
      <c r="G71" s="97">
        <v>417</v>
      </c>
      <c r="H71" s="97">
        <v>251</v>
      </c>
      <c r="I71" s="98"/>
      <c r="J71" s="10">
        <f t="shared" si="3"/>
        <v>2.556</v>
      </c>
      <c r="K71" s="11">
        <v>6</v>
      </c>
      <c r="L71" s="12">
        <f t="shared" si="4"/>
        <v>0.42599999999999999</v>
      </c>
      <c r="M71" s="13">
        <f t="shared" si="5"/>
        <v>426</v>
      </c>
      <c r="N71" s="15"/>
    </row>
    <row r="72" spans="1:14" s="5" customFormat="1" ht="12">
      <c r="A72" s="40" t="s">
        <v>1983</v>
      </c>
      <c r="B72" s="40" t="s">
        <v>1273</v>
      </c>
      <c r="C72" s="97">
        <v>474</v>
      </c>
      <c r="D72" s="97">
        <v>459</v>
      </c>
      <c r="E72" s="97">
        <v>348</v>
      </c>
      <c r="F72" s="97">
        <v>105</v>
      </c>
      <c r="G72" s="97">
        <v>454</v>
      </c>
      <c r="H72" s="97">
        <v>275</v>
      </c>
      <c r="I72" s="98"/>
      <c r="J72" s="10">
        <f t="shared" si="3"/>
        <v>2.8439999999999999</v>
      </c>
      <c r="K72" s="11">
        <v>6</v>
      </c>
      <c r="L72" s="12">
        <f t="shared" si="4"/>
        <v>0.47399999999999998</v>
      </c>
      <c r="M72" s="13">
        <f t="shared" si="5"/>
        <v>474</v>
      </c>
      <c r="N72" s="15"/>
    </row>
    <row r="73" spans="1:14" s="5" customFormat="1" ht="12">
      <c r="A73" s="40" t="s">
        <v>1983</v>
      </c>
      <c r="B73" s="40" t="s">
        <v>1950</v>
      </c>
      <c r="C73" s="97">
        <v>357</v>
      </c>
      <c r="D73" s="97">
        <v>345</v>
      </c>
      <c r="E73" s="97">
        <v>259</v>
      </c>
      <c r="F73" s="97">
        <v>102</v>
      </c>
      <c r="G73" s="97">
        <v>344</v>
      </c>
      <c r="H73" s="97">
        <v>202</v>
      </c>
      <c r="I73" s="98"/>
      <c r="J73" s="10">
        <f t="shared" si="3"/>
        <v>2.1419999999999999</v>
      </c>
      <c r="K73" s="11">
        <v>6</v>
      </c>
      <c r="L73" s="12">
        <f t="shared" si="4"/>
        <v>0.35699999999999998</v>
      </c>
      <c r="M73" s="13">
        <f t="shared" si="5"/>
        <v>357</v>
      </c>
      <c r="N73" s="15"/>
    </row>
    <row r="74" spans="1:14" s="5" customFormat="1" ht="12">
      <c r="A74" s="40" t="s">
        <v>1983</v>
      </c>
      <c r="B74" s="40" t="s">
        <v>1518</v>
      </c>
      <c r="C74" s="97">
        <v>733</v>
      </c>
      <c r="D74" s="97">
        <v>719</v>
      </c>
      <c r="E74" s="97">
        <v>467</v>
      </c>
      <c r="F74" s="97">
        <v>186</v>
      </c>
      <c r="G74" s="97">
        <v>722</v>
      </c>
      <c r="H74" s="97">
        <v>451</v>
      </c>
      <c r="I74" s="98"/>
      <c r="J74" s="10">
        <f t="shared" si="3"/>
        <v>4.3979999999999997</v>
      </c>
      <c r="K74" s="11">
        <v>6</v>
      </c>
      <c r="L74" s="12">
        <f t="shared" si="4"/>
        <v>0.73299999999999998</v>
      </c>
      <c r="M74" s="13">
        <f t="shared" si="5"/>
        <v>733</v>
      </c>
      <c r="N74" s="15"/>
    </row>
    <row r="75" spans="1:14" s="5" customFormat="1" ht="12">
      <c r="A75" s="40" t="s">
        <v>1983</v>
      </c>
      <c r="B75" s="40" t="s">
        <v>1519</v>
      </c>
      <c r="C75" s="97">
        <v>1520</v>
      </c>
      <c r="D75" s="97">
        <v>1519</v>
      </c>
      <c r="E75" s="97">
        <v>1267</v>
      </c>
      <c r="F75" s="97">
        <v>442</v>
      </c>
      <c r="G75" s="97">
        <v>1500</v>
      </c>
      <c r="H75" s="97">
        <v>978</v>
      </c>
      <c r="I75" s="98"/>
      <c r="J75" s="10">
        <f t="shared" si="3"/>
        <v>9.120000000000001</v>
      </c>
      <c r="K75" s="11">
        <v>6</v>
      </c>
      <c r="L75" s="12">
        <f t="shared" si="4"/>
        <v>1.52</v>
      </c>
      <c r="M75" s="13">
        <f t="shared" si="5"/>
        <v>1520</v>
      </c>
      <c r="N75" s="15"/>
    </row>
    <row r="76" spans="1:14" s="5" customFormat="1" ht="12">
      <c r="A76" s="40" t="s">
        <v>1983</v>
      </c>
      <c r="B76" s="40" t="s">
        <v>1598</v>
      </c>
      <c r="C76" s="97">
        <v>455</v>
      </c>
      <c r="D76" s="97">
        <v>439</v>
      </c>
      <c r="E76" s="97">
        <v>372</v>
      </c>
      <c r="F76" s="97">
        <v>169</v>
      </c>
      <c r="G76" s="97">
        <v>447</v>
      </c>
      <c r="H76" s="97">
        <v>328</v>
      </c>
      <c r="I76" s="98"/>
      <c r="J76" s="10">
        <f t="shared" si="3"/>
        <v>2.73</v>
      </c>
      <c r="K76" s="11">
        <v>6</v>
      </c>
      <c r="L76" s="12">
        <f t="shared" si="4"/>
        <v>0.45500000000000002</v>
      </c>
      <c r="M76" s="13">
        <f t="shared" si="5"/>
        <v>455</v>
      </c>
      <c r="N76" s="15"/>
    </row>
    <row r="77" spans="1:14" s="5" customFormat="1" ht="12">
      <c r="A77" s="40" t="s">
        <v>1983</v>
      </c>
      <c r="B77" s="40" t="s">
        <v>1669</v>
      </c>
      <c r="C77" s="97">
        <v>479</v>
      </c>
      <c r="D77" s="97">
        <v>473</v>
      </c>
      <c r="E77" s="97">
        <v>395</v>
      </c>
      <c r="F77" s="97">
        <v>128</v>
      </c>
      <c r="G77" s="97">
        <v>473</v>
      </c>
      <c r="H77" s="97">
        <v>272</v>
      </c>
      <c r="I77" s="98"/>
      <c r="J77" s="10">
        <f t="shared" si="3"/>
        <v>2.8739999999999997</v>
      </c>
      <c r="K77" s="11">
        <v>6</v>
      </c>
      <c r="L77" s="12">
        <f t="shared" si="4"/>
        <v>0.47899999999999998</v>
      </c>
      <c r="M77" s="13">
        <f t="shared" si="5"/>
        <v>479</v>
      </c>
      <c r="N77" s="15"/>
    </row>
    <row r="78" spans="1:14" s="5" customFormat="1" ht="12">
      <c r="A78" s="40" t="s">
        <v>1983</v>
      </c>
      <c r="B78" s="40" t="s">
        <v>1694</v>
      </c>
      <c r="C78" s="97">
        <v>921</v>
      </c>
      <c r="D78" s="97">
        <v>905</v>
      </c>
      <c r="E78" s="97">
        <v>781</v>
      </c>
      <c r="F78" s="97">
        <v>226</v>
      </c>
      <c r="G78" s="97">
        <v>916</v>
      </c>
      <c r="H78" s="97">
        <v>535</v>
      </c>
      <c r="I78" s="98"/>
      <c r="J78" s="10">
        <f t="shared" si="3"/>
        <v>5.5259999999999998</v>
      </c>
      <c r="K78" s="11">
        <v>6</v>
      </c>
      <c r="L78" s="12">
        <f t="shared" si="4"/>
        <v>0.92100000000000004</v>
      </c>
      <c r="M78" s="13">
        <f t="shared" si="5"/>
        <v>921</v>
      </c>
      <c r="N78" s="15"/>
    </row>
    <row r="79" spans="1:14" s="5" customFormat="1" ht="12">
      <c r="A79" s="40" t="s">
        <v>1983</v>
      </c>
      <c r="B79" s="40" t="s">
        <v>1727</v>
      </c>
      <c r="C79" s="97">
        <v>427</v>
      </c>
      <c r="D79" s="97">
        <v>422</v>
      </c>
      <c r="E79" s="97">
        <v>344</v>
      </c>
      <c r="F79" s="97">
        <v>127</v>
      </c>
      <c r="G79" s="97">
        <v>419</v>
      </c>
      <c r="H79" s="97">
        <v>268</v>
      </c>
      <c r="I79" s="98"/>
      <c r="J79" s="10">
        <f t="shared" si="3"/>
        <v>2.5619999999999998</v>
      </c>
      <c r="K79" s="11">
        <v>6</v>
      </c>
      <c r="L79" s="12">
        <f t="shared" si="4"/>
        <v>0.42699999999999999</v>
      </c>
      <c r="M79" s="13">
        <f t="shared" si="5"/>
        <v>427</v>
      </c>
      <c r="N79" s="15"/>
    </row>
    <row r="80" spans="1:14" s="5" customFormat="1" ht="12">
      <c r="A80" s="40" t="s">
        <v>1983</v>
      </c>
      <c r="B80" s="40" t="s">
        <v>1860</v>
      </c>
      <c r="C80" s="97">
        <v>473</v>
      </c>
      <c r="D80" s="97">
        <v>459</v>
      </c>
      <c r="E80" s="97">
        <v>373</v>
      </c>
      <c r="F80" s="97">
        <v>112</v>
      </c>
      <c r="G80" s="97">
        <v>471</v>
      </c>
      <c r="H80" s="97">
        <v>264</v>
      </c>
      <c r="I80" s="98"/>
      <c r="J80" s="10">
        <f t="shared" si="3"/>
        <v>2.8380000000000001</v>
      </c>
      <c r="K80" s="11">
        <v>6</v>
      </c>
      <c r="L80" s="12">
        <f t="shared" si="4"/>
        <v>0.47299999999999998</v>
      </c>
      <c r="M80" s="13">
        <f t="shared" si="5"/>
        <v>473</v>
      </c>
      <c r="N80" s="15"/>
    </row>
    <row r="81" spans="1:14" s="5" customFormat="1" ht="12">
      <c r="A81" s="40" t="s">
        <v>1983</v>
      </c>
      <c r="B81" s="40" t="s">
        <v>1868</v>
      </c>
      <c r="C81" s="97">
        <v>309</v>
      </c>
      <c r="D81" s="97">
        <v>297</v>
      </c>
      <c r="E81" s="97">
        <v>244</v>
      </c>
      <c r="F81" s="97">
        <v>78</v>
      </c>
      <c r="G81" s="97">
        <v>306</v>
      </c>
      <c r="H81" s="97">
        <v>177</v>
      </c>
      <c r="I81" s="98"/>
      <c r="J81" s="10">
        <f t="shared" si="3"/>
        <v>1.8540000000000001</v>
      </c>
      <c r="K81" s="11">
        <v>6</v>
      </c>
      <c r="L81" s="12">
        <f t="shared" si="4"/>
        <v>0.309</v>
      </c>
      <c r="M81" s="13">
        <f t="shared" si="5"/>
        <v>309</v>
      </c>
      <c r="N81" s="15"/>
    </row>
    <row r="82" spans="1:14" s="5" customFormat="1" ht="12">
      <c r="A82" s="40" t="s">
        <v>462</v>
      </c>
      <c r="B82" s="40" t="s">
        <v>463</v>
      </c>
      <c r="C82" s="97">
        <v>1049</v>
      </c>
      <c r="D82" s="97">
        <v>1025</v>
      </c>
      <c r="E82" s="97">
        <v>799</v>
      </c>
      <c r="F82" s="97">
        <v>196</v>
      </c>
      <c r="G82" s="97">
        <v>983</v>
      </c>
      <c r="H82" s="97">
        <v>450</v>
      </c>
      <c r="I82" s="98"/>
      <c r="J82" s="10">
        <f t="shared" si="3"/>
        <v>6.2939999999999996</v>
      </c>
      <c r="K82" s="11">
        <v>6</v>
      </c>
      <c r="L82" s="12">
        <f t="shared" si="4"/>
        <v>1.0489999999999999</v>
      </c>
      <c r="M82" s="13">
        <f t="shared" si="5"/>
        <v>1049</v>
      </c>
      <c r="N82" s="15"/>
    </row>
    <row r="83" spans="1:14" s="5" customFormat="1" ht="12">
      <c r="A83" s="40" t="s">
        <v>462</v>
      </c>
      <c r="B83" s="40" t="s">
        <v>727</v>
      </c>
      <c r="C83" s="97">
        <v>370</v>
      </c>
      <c r="D83" s="97">
        <v>364</v>
      </c>
      <c r="E83" s="97">
        <v>300</v>
      </c>
      <c r="F83" s="97">
        <v>59</v>
      </c>
      <c r="G83" s="97">
        <v>360</v>
      </c>
      <c r="H83" s="97">
        <v>187</v>
      </c>
      <c r="I83" s="98"/>
      <c r="J83" s="10">
        <f t="shared" si="3"/>
        <v>2.2199999999999998</v>
      </c>
      <c r="K83" s="11">
        <v>6</v>
      </c>
      <c r="L83" s="12">
        <f t="shared" si="4"/>
        <v>0.37</v>
      </c>
      <c r="M83" s="13">
        <f t="shared" si="5"/>
        <v>370</v>
      </c>
      <c r="N83" s="15"/>
    </row>
    <row r="84" spans="1:14" s="5" customFormat="1" ht="12">
      <c r="A84" s="40" t="s">
        <v>462</v>
      </c>
      <c r="B84" s="40" t="s">
        <v>740</v>
      </c>
      <c r="C84" s="97">
        <v>506</v>
      </c>
      <c r="D84" s="97">
        <v>493</v>
      </c>
      <c r="E84" s="97">
        <v>402</v>
      </c>
      <c r="F84" s="97">
        <v>117</v>
      </c>
      <c r="G84" s="97">
        <v>483</v>
      </c>
      <c r="H84" s="97">
        <v>272</v>
      </c>
      <c r="I84" s="98"/>
      <c r="J84" s="10">
        <f t="shared" si="3"/>
        <v>3.036</v>
      </c>
      <c r="K84" s="11">
        <v>6</v>
      </c>
      <c r="L84" s="12">
        <f t="shared" si="4"/>
        <v>0.50600000000000001</v>
      </c>
      <c r="M84" s="13">
        <f t="shared" si="5"/>
        <v>506</v>
      </c>
      <c r="N84" s="15"/>
    </row>
    <row r="85" spans="1:14" s="5" customFormat="1" ht="12">
      <c r="A85" s="40" t="s">
        <v>462</v>
      </c>
      <c r="B85" s="40" t="s">
        <v>747</v>
      </c>
      <c r="C85" s="97">
        <v>987</v>
      </c>
      <c r="D85" s="97">
        <v>967</v>
      </c>
      <c r="E85" s="97">
        <v>813</v>
      </c>
      <c r="F85" s="97">
        <v>212</v>
      </c>
      <c r="G85" s="97">
        <v>964</v>
      </c>
      <c r="H85" s="97">
        <v>540</v>
      </c>
      <c r="I85" s="98"/>
      <c r="J85" s="10">
        <f t="shared" si="3"/>
        <v>5.9219999999999997</v>
      </c>
      <c r="K85" s="11">
        <v>6</v>
      </c>
      <c r="L85" s="12">
        <f t="shared" si="4"/>
        <v>0.98699999999999999</v>
      </c>
      <c r="M85" s="13">
        <f t="shared" si="5"/>
        <v>987</v>
      </c>
      <c r="N85" s="15"/>
    </row>
    <row r="86" spans="1:14" s="5" customFormat="1" ht="12">
      <c r="A86" s="40" t="s">
        <v>462</v>
      </c>
      <c r="B86" s="40" t="s">
        <v>817</v>
      </c>
      <c r="C86" s="97">
        <v>486</v>
      </c>
      <c r="D86" s="97">
        <v>474</v>
      </c>
      <c r="E86" s="97">
        <v>393</v>
      </c>
      <c r="F86" s="97">
        <v>104</v>
      </c>
      <c r="G86" s="97">
        <v>480</v>
      </c>
      <c r="H86" s="97">
        <v>265</v>
      </c>
      <c r="I86" s="98"/>
      <c r="J86" s="10">
        <f t="shared" si="3"/>
        <v>2.9159999999999999</v>
      </c>
      <c r="K86" s="11">
        <v>6</v>
      </c>
      <c r="L86" s="12">
        <f t="shared" si="4"/>
        <v>0.48599999999999999</v>
      </c>
      <c r="M86" s="13">
        <f t="shared" si="5"/>
        <v>486</v>
      </c>
      <c r="N86" s="15"/>
    </row>
    <row r="87" spans="1:14" s="5" customFormat="1" ht="12">
      <c r="A87" s="40" t="s">
        <v>462</v>
      </c>
      <c r="B87" s="40" t="s">
        <v>835</v>
      </c>
      <c r="C87" s="97">
        <v>509</v>
      </c>
      <c r="D87" s="97">
        <v>489</v>
      </c>
      <c r="E87" s="97">
        <v>395</v>
      </c>
      <c r="F87" s="97">
        <v>118</v>
      </c>
      <c r="G87" s="97">
        <v>502</v>
      </c>
      <c r="H87" s="97">
        <v>260</v>
      </c>
      <c r="I87" s="98"/>
      <c r="J87" s="10">
        <f t="shared" si="3"/>
        <v>3.0540000000000003</v>
      </c>
      <c r="K87" s="11">
        <v>6</v>
      </c>
      <c r="L87" s="12">
        <f t="shared" si="4"/>
        <v>0.50900000000000001</v>
      </c>
      <c r="M87" s="13">
        <f t="shared" si="5"/>
        <v>509</v>
      </c>
      <c r="N87" s="15"/>
    </row>
    <row r="88" spans="1:14" s="5" customFormat="1" ht="12">
      <c r="A88" s="40" t="s">
        <v>462</v>
      </c>
      <c r="B88" s="40" t="s">
        <v>979</v>
      </c>
      <c r="C88" s="97">
        <v>773</v>
      </c>
      <c r="D88" s="97">
        <v>757</v>
      </c>
      <c r="E88" s="97">
        <v>604</v>
      </c>
      <c r="F88" s="97">
        <v>151</v>
      </c>
      <c r="G88" s="97">
        <v>753</v>
      </c>
      <c r="H88" s="97">
        <v>406</v>
      </c>
      <c r="I88" s="98"/>
      <c r="J88" s="10">
        <f t="shared" si="3"/>
        <v>4.6379999999999999</v>
      </c>
      <c r="K88" s="11">
        <v>6</v>
      </c>
      <c r="L88" s="12">
        <f t="shared" si="4"/>
        <v>0.77300000000000002</v>
      </c>
      <c r="M88" s="13">
        <f t="shared" si="5"/>
        <v>773</v>
      </c>
      <c r="N88" s="15"/>
    </row>
    <row r="89" spans="1:14" s="5" customFormat="1" ht="12">
      <c r="A89" s="40" t="s">
        <v>462</v>
      </c>
      <c r="B89" s="40" t="s">
        <v>1024</v>
      </c>
      <c r="C89" s="97">
        <v>1340</v>
      </c>
      <c r="D89" s="97">
        <v>1310</v>
      </c>
      <c r="E89" s="97">
        <v>1078</v>
      </c>
      <c r="F89" s="97">
        <v>309</v>
      </c>
      <c r="G89" s="97">
        <v>1315</v>
      </c>
      <c r="H89" s="97">
        <v>703</v>
      </c>
      <c r="I89" s="98"/>
      <c r="J89" s="10">
        <f t="shared" si="3"/>
        <v>8.0400000000000009</v>
      </c>
      <c r="K89" s="11">
        <v>6</v>
      </c>
      <c r="L89" s="12">
        <f t="shared" si="4"/>
        <v>1.34</v>
      </c>
      <c r="M89" s="13">
        <f t="shared" si="5"/>
        <v>1340</v>
      </c>
      <c r="N89" s="15"/>
    </row>
    <row r="90" spans="1:14" s="5" customFormat="1" ht="12">
      <c r="A90" s="40" t="s">
        <v>462</v>
      </c>
      <c r="B90" s="40" t="s">
        <v>1056</v>
      </c>
      <c r="C90" s="97">
        <v>560</v>
      </c>
      <c r="D90" s="97">
        <v>538</v>
      </c>
      <c r="E90" s="97">
        <v>424</v>
      </c>
      <c r="F90" s="97">
        <v>127</v>
      </c>
      <c r="G90" s="97">
        <v>549</v>
      </c>
      <c r="H90" s="97">
        <v>270</v>
      </c>
      <c r="I90" s="98"/>
      <c r="J90" s="10">
        <f t="shared" si="3"/>
        <v>3.3600000000000003</v>
      </c>
      <c r="K90" s="11">
        <v>6</v>
      </c>
      <c r="L90" s="12">
        <f t="shared" si="4"/>
        <v>0.56000000000000005</v>
      </c>
      <c r="M90" s="13">
        <f t="shared" si="5"/>
        <v>560</v>
      </c>
      <c r="N90" s="15"/>
    </row>
    <row r="91" spans="1:14" s="5" customFormat="1" ht="12">
      <c r="A91" s="40" t="s">
        <v>462</v>
      </c>
      <c r="B91" s="40" t="s">
        <v>1057</v>
      </c>
      <c r="C91" s="97">
        <v>527</v>
      </c>
      <c r="D91" s="97">
        <v>521</v>
      </c>
      <c r="E91" s="97">
        <v>425</v>
      </c>
      <c r="F91" s="97">
        <v>112</v>
      </c>
      <c r="G91" s="97">
        <v>511</v>
      </c>
      <c r="H91" s="97">
        <v>308</v>
      </c>
      <c r="I91" s="98"/>
      <c r="J91" s="10">
        <f t="shared" si="3"/>
        <v>3.1619999999999999</v>
      </c>
      <c r="K91" s="11">
        <v>6</v>
      </c>
      <c r="L91" s="12">
        <f t="shared" si="4"/>
        <v>0.52700000000000002</v>
      </c>
      <c r="M91" s="13">
        <f t="shared" si="5"/>
        <v>527</v>
      </c>
      <c r="N91" s="15"/>
    </row>
    <row r="92" spans="1:14" s="5" customFormat="1" ht="12">
      <c r="A92" s="40" t="s">
        <v>462</v>
      </c>
      <c r="B92" s="40" t="s">
        <v>1951</v>
      </c>
      <c r="C92" s="97">
        <v>1002</v>
      </c>
      <c r="D92" s="97">
        <v>973</v>
      </c>
      <c r="E92" s="97">
        <v>741</v>
      </c>
      <c r="F92" s="97">
        <v>187</v>
      </c>
      <c r="G92" s="97">
        <v>986</v>
      </c>
      <c r="H92" s="97">
        <v>489</v>
      </c>
      <c r="I92" s="98"/>
      <c r="J92" s="10">
        <f t="shared" si="3"/>
        <v>6.0120000000000005</v>
      </c>
      <c r="K92" s="11">
        <v>6</v>
      </c>
      <c r="L92" s="12">
        <f t="shared" si="4"/>
        <v>1.002</v>
      </c>
      <c r="M92" s="13">
        <f t="shared" si="5"/>
        <v>1002</v>
      </c>
      <c r="N92" s="15"/>
    </row>
    <row r="93" spans="1:14" s="5" customFormat="1" ht="12">
      <c r="A93" s="40" t="s">
        <v>462</v>
      </c>
      <c r="B93" s="40" t="s">
        <v>1136</v>
      </c>
      <c r="C93" s="97">
        <v>870</v>
      </c>
      <c r="D93" s="97">
        <v>852</v>
      </c>
      <c r="E93" s="97">
        <v>718</v>
      </c>
      <c r="F93" s="97">
        <v>207</v>
      </c>
      <c r="G93" s="97">
        <v>833</v>
      </c>
      <c r="H93" s="97">
        <v>471</v>
      </c>
      <c r="I93" s="98"/>
      <c r="J93" s="10">
        <f t="shared" si="3"/>
        <v>5.22</v>
      </c>
      <c r="K93" s="11">
        <v>6</v>
      </c>
      <c r="L93" s="12">
        <f t="shared" si="4"/>
        <v>0.87</v>
      </c>
      <c r="M93" s="13">
        <f t="shared" si="5"/>
        <v>870</v>
      </c>
      <c r="N93" s="15"/>
    </row>
    <row r="94" spans="1:14" s="5" customFormat="1" ht="12">
      <c r="A94" s="40" t="s">
        <v>462</v>
      </c>
      <c r="B94" s="40" t="s">
        <v>1143</v>
      </c>
      <c r="C94" s="97">
        <v>586</v>
      </c>
      <c r="D94" s="97">
        <v>577</v>
      </c>
      <c r="E94" s="97">
        <v>459</v>
      </c>
      <c r="F94" s="97">
        <v>140</v>
      </c>
      <c r="G94" s="97">
        <v>579</v>
      </c>
      <c r="H94" s="97">
        <v>343</v>
      </c>
      <c r="I94" s="98"/>
      <c r="J94" s="10">
        <f t="shared" si="3"/>
        <v>3.516</v>
      </c>
      <c r="K94" s="11">
        <v>6</v>
      </c>
      <c r="L94" s="12">
        <f t="shared" si="4"/>
        <v>0.58599999999999997</v>
      </c>
      <c r="M94" s="13">
        <f t="shared" si="5"/>
        <v>586</v>
      </c>
      <c r="N94" s="15"/>
    </row>
    <row r="95" spans="1:14" s="5" customFormat="1" ht="12">
      <c r="A95" s="40" t="s">
        <v>462</v>
      </c>
      <c r="B95" s="40" t="s">
        <v>1176</v>
      </c>
      <c r="C95" s="97">
        <v>969</v>
      </c>
      <c r="D95" s="97">
        <v>953</v>
      </c>
      <c r="E95" s="97">
        <v>789</v>
      </c>
      <c r="F95" s="97">
        <v>233</v>
      </c>
      <c r="G95" s="97">
        <v>949</v>
      </c>
      <c r="H95" s="97">
        <v>566</v>
      </c>
      <c r="I95" s="98"/>
      <c r="J95" s="10">
        <f t="shared" si="3"/>
        <v>5.8140000000000001</v>
      </c>
      <c r="K95" s="11">
        <v>6</v>
      </c>
      <c r="L95" s="12">
        <f t="shared" si="4"/>
        <v>0.96899999999999997</v>
      </c>
      <c r="M95" s="13">
        <f t="shared" si="5"/>
        <v>969</v>
      </c>
      <c r="N95" s="15"/>
    </row>
    <row r="96" spans="1:14" s="5" customFormat="1" ht="12">
      <c r="A96" s="40" t="s">
        <v>462</v>
      </c>
      <c r="B96" s="40" t="s">
        <v>1298</v>
      </c>
      <c r="C96" s="97">
        <v>1117</v>
      </c>
      <c r="D96" s="97">
        <v>1105</v>
      </c>
      <c r="E96" s="97">
        <v>904</v>
      </c>
      <c r="F96" s="97">
        <v>231</v>
      </c>
      <c r="G96" s="97">
        <v>1079</v>
      </c>
      <c r="H96" s="97">
        <v>570</v>
      </c>
      <c r="I96" s="98"/>
      <c r="J96" s="10">
        <f t="shared" si="3"/>
        <v>6.702</v>
      </c>
      <c r="K96" s="11">
        <v>6</v>
      </c>
      <c r="L96" s="12">
        <f t="shared" si="4"/>
        <v>1.117</v>
      </c>
      <c r="M96" s="13">
        <f t="shared" si="5"/>
        <v>1117</v>
      </c>
      <c r="N96" s="15"/>
    </row>
    <row r="97" spans="1:14" s="5" customFormat="1" ht="12">
      <c r="A97" s="40" t="s">
        <v>462</v>
      </c>
      <c r="B97" s="40" t="s">
        <v>1335</v>
      </c>
      <c r="C97" s="97">
        <v>393</v>
      </c>
      <c r="D97" s="97">
        <v>381</v>
      </c>
      <c r="E97" s="97">
        <v>295</v>
      </c>
      <c r="F97" s="97">
        <v>81</v>
      </c>
      <c r="G97" s="97">
        <v>387</v>
      </c>
      <c r="H97" s="97">
        <v>166</v>
      </c>
      <c r="I97" s="98"/>
      <c r="J97" s="10">
        <f t="shared" si="3"/>
        <v>2.3580000000000001</v>
      </c>
      <c r="K97" s="11">
        <v>6</v>
      </c>
      <c r="L97" s="12">
        <f t="shared" si="4"/>
        <v>0.39300000000000002</v>
      </c>
      <c r="M97" s="13">
        <f t="shared" si="5"/>
        <v>393</v>
      </c>
      <c r="N97" s="15"/>
    </row>
    <row r="98" spans="1:14" s="5" customFormat="1" ht="12">
      <c r="A98" s="40" t="s">
        <v>462</v>
      </c>
      <c r="B98" s="40" t="s">
        <v>1435</v>
      </c>
      <c r="C98" s="97">
        <v>792</v>
      </c>
      <c r="D98" s="97">
        <v>773</v>
      </c>
      <c r="E98" s="97">
        <v>629</v>
      </c>
      <c r="F98" s="97">
        <v>189</v>
      </c>
      <c r="G98" s="97">
        <v>778</v>
      </c>
      <c r="H98" s="97">
        <v>409</v>
      </c>
      <c r="I98" s="98"/>
      <c r="J98" s="10">
        <f t="shared" si="3"/>
        <v>4.7520000000000007</v>
      </c>
      <c r="K98" s="11">
        <v>6</v>
      </c>
      <c r="L98" s="12">
        <f t="shared" si="4"/>
        <v>0.79200000000000004</v>
      </c>
      <c r="M98" s="13">
        <f t="shared" si="5"/>
        <v>792</v>
      </c>
      <c r="N98" s="15"/>
    </row>
    <row r="99" spans="1:14" s="5" customFormat="1" ht="12">
      <c r="A99" s="40" t="s">
        <v>462</v>
      </c>
      <c r="B99" s="40" t="s">
        <v>1457</v>
      </c>
      <c r="C99" s="97">
        <v>511</v>
      </c>
      <c r="D99" s="97">
        <v>499</v>
      </c>
      <c r="E99" s="97">
        <v>386</v>
      </c>
      <c r="F99" s="97">
        <v>96</v>
      </c>
      <c r="G99" s="97">
        <v>503</v>
      </c>
      <c r="H99" s="97">
        <v>243</v>
      </c>
      <c r="I99" s="98"/>
      <c r="J99" s="10">
        <f t="shared" si="3"/>
        <v>3.0659999999999998</v>
      </c>
      <c r="K99" s="11">
        <v>6</v>
      </c>
      <c r="L99" s="12">
        <f t="shared" si="4"/>
        <v>0.51100000000000001</v>
      </c>
      <c r="M99" s="13">
        <f t="shared" si="5"/>
        <v>511</v>
      </c>
      <c r="N99" s="15"/>
    </row>
    <row r="100" spans="1:14" s="5" customFormat="1" ht="12">
      <c r="A100" s="40" t="s">
        <v>462</v>
      </c>
      <c r="B100" s="40" t="s">
        <v>1468</v>
      </c>
      <c r="C100" s="97">
        <v>654</v>
      </c>
      <c r="D100" s="97">
        <v>635</v>
      </c>
      <c r="E100" s="97">
        <v>498</v>
      </c>
      <c r="F100" s="97">
        <v>148</v>
      </c>
      <c r="G100" s="97">
        <v>632</v>
      </c>
      <c r="H100" s="97">
        <v>327</v>
      </c>
      <c r="I100" s="98"/>
      <c r="J100" s="10">
        <f t="shared" si="3"/>
        <v>3.9240000000000004</v>
      </c>
      <c r="K100" s="11">
        <v>6</v>
      </c>
      <c r="L100" s="12">
        <f t="shared" si="4"/>
        <v>0.65400000000000003</v>
      </c>
      <c r="M100" s="13">
        <f t="shared" si="5"/>
        <v>654</v>
      </c>
      <c r="N100" s="15"/>
    </row>
    <row r="101" spans="1:14" s="5" customFormat="1" ht="12">
      <c r="A101" s="40" t="s">
        <v>462</v>
      </c>
      <c r="B101" s="40" t="s">
        <v>1509</v>
      </c>
      <c r="C101" s="97">
        <v>376</v>
      </c>
      <c r="D101" s="97">
        <v>365</v>
      </c>
      <c r="E101" s="97">
        <v>250</v>
      </c>
      <c r="F101" s="97">
        <v>67</v>
      </c>
      <c r="G101" s="97">
        <v>358</v>
      </c>
      <c r="H101" s="97">
        <v>156</v>
      </c>
      <c r="I101" s="98"/>
      <c r="J101" s="10">
        <f t="shared" si="3"/>
        <v>2.2560000000000002</v>
      </c>
      <c r="K101" s="11">
        <v>6</v>
      </c>
      <c r="L101" s="12">
        <f t="shared" si="4"/>
        <v>0.376</v>
      </c>
      <c r="M101" s="13">
        <f t="shared" si="5"/>
        <v>376</v>
      </c>
      <c r="N101" s="15"/>
    </row>
    <row r="102" spans="1:14" s="5" customFormat="1" ht="12">
      <c r="A102" s="40" t="s">
        <v>462</v>
      </c>
      <c r="B102" s="40" t="s">
        <v>1527</v>
      </c>
      <c r="C102" s="97">
        <v>351</v>
      </c>
      <c r="D102" s="97">
        <v>338</v>
      </c>
      <c r="E102" s="97">
        <v>267</v>
      </c>
      <c r="F102" s="97">
        <v>112</v>
      </c>
      <c r="G102" s="97">
        <v>345</v>
      </c>
      <c r="H102" s="97">
        <v>198</v>
      </c>
      <c r="I102" s="98"/>
      <c r="J102" s="10">
        <f t="shared" si="3"/>
        <v>2.1059999999999999</v>
      </c>
      <c r="K102" s="11">
        <v>6</v>
      </c>
      <c r="L102" s="12">
        <f t="shared" si="4"/>
        <v>0.35099999999999998</v>
      </c>
      <c r="M102" s="13">
        <f t="shared" si="5"/>
        <v>351</v>
      </c>
      <c r="N102" s="15"/>
    </row>
    <row r="103" spans="1:14" s="5" customFormat="1" ht="12">
      <c r="A103" s="40" t="s">
        <v>462</v>
      </c>
      <c r="B103" s="40" t="s">
        <v>1535</v>
      </c>
      <c r="C103" s="97">
        <v>1033</v>
      </c>
      <c r="D103" s="97">
        <v>1023</v>
      </c>
      <c r="E103" s="97">
        <v>877</v>
      </c>
      <c r="F103" s="97">
        <v>321</v>
      </c>
      <c r="G103" s="97">
        <v>1003</v>
      </c>
      <c r="H103" s="97">
        <v>662</v>
      </c>
      <c r="I103" s="98"/>
      <c r="J103" s="10">
        <f t="shared" si="3"/>
        <v>6.1979999999999995</v>
      </c>
      <c r="K103" s="11">
        <v>6</v>
      </c>
      <c r="L103" s="12">
        <f t="shared" si="4"/>
        <v>1.0329999999999999</v>
      </c>
      <c r="M103" s="13">
        <f t="shared" si="5"/>
        <v>1033</v>
      </c>
      <c r="N103" s="15"/>
    </row>
    <row r="104" spans="1:14" s="5" customFormat="1" ht="12">
      <c r="A104" s="40" t="s">
        <v>462</v>
      </c>
      <c r="B104" s="40" t="s">
        <v>1576</v>
      </c>
      <c r="C104" s="97">
        <v>423</v>
      </c>
      <c r="D104" s="97">
        <v>412</v>
      </c>
      <c r="E104" s="97">
        <v>329</v>
      </c>
      <c r="F104" s="97">
        <v>120</v>
      </c>
      <c r="G104" s="97">
        <v>412</v>
      </c>
      <c r="H104" s="97">
        <v>268</v>
      </c>
      <c r="I104" s="98"/>
      <c r="J104" s="10">
        <f t="shared" si="3"/>
        <v>2.5379999999999998</v>
      </c>
      <c r="K104" s="11">
        <v>6</v>
      </c>
      <c r="L104" s="12">
        <f t="shared" si="4"/>
        <v>0.42299999999999999</v>
      </c>
      <c r="M104" s="13">
        <f t="shared" si="5"/>
        <v>423</v>
      </c>
      <c r="N104" s="15"/>
    </row>
    <row r="105" spans="1:14" s="5" customFormat="1" ht="12">
      <c r="A105" s="40" t="s">
        <v>462</v>
      </c>
      <c r="B105" s="40" t="s">
        <v>1708</v>
      </c>
      <c r="C105" s="97">
        <v>1047</v>
      </c>
      <c r="D105" s="97">
        <v>1028</v>
      </c>
      <c r="E105" s="97">
        <v>827</v>
      </c>
      <c r="F105" s="97">
        <v>250</v>
      </c>
      <c r="G105" s="97">
        <v>1024</v>
      </c>
      <c r="H105" s="97">
        <v>548</v>
      </c>
      <c r="I105" s="98"/>
      <c r="J105" s="10">
        <f t="shared" si="3"/>
        <v>6.282</v>
      </c>
      <c r="K105" s="11">
        <v>6</v>
      </c>
      <c r="L105" s="12">
        <f t="shared" si="4"/>
        <v>1.0469999999999999</v>
      </c>
      <c r="M105" s="13">
        <f t="shared" si="5"/>
        <v>1047</v>
      </c>
      <c r="N105" s="15"/>
    </row>
    <row r="106" spans="1:14" s="5" customFormat="1" ht="11.25" customHeight="1">
      <c r="A106" s="40" t="s">
        <v>462</v>
      </c>
      <c r="B106" s="40" t="s">
        <v>1743</v>
      </c>
      <c r="C106" s="97">
        <v>467</v>
      </c>
      <c r="D106" s="97">
        <v>449</v>
      </c>
      <c r="E106" s="97">
        <v>385</v>
      </c>
      <c r="F106" s="97">
        <v>130</v>
      </c>
      <c r="G106" s="97">
        <v>457</v>
      </c>
      <c r="H106" s="97">
        <v>304</v>
      </c>
      <c r="I106" s="98"/>
      <c r="J106" s="10">
        <f t="shared" si="3"/>
        <v>2.802</v>
      </c>
      <c r="K106" s="11">
        <v>6</v>
      </c>
      <c r="L106" s="12">
        <f t="shared" si="4"/>
        <v>0.46700000000000003</v>
      </c>
      <c r="M106" s="13">
        <f t="shared" si="5"/>
        <v>467</v>
      </c>
      <c r="N106" s="15"/>
    </row>
    <row r="107" spans="1:14" s="5" customFormat="1" ht="12">
      <c r="A107" s="40" t="s">
        <v>56</v>
      </c>
      <c r="B107" s="40" t="s">
        <v>236</v>
      </c>
      <c r="C107" s="97">
        <v>309</v>
      </c>
      <c r="D107" s="97">
        <v>304</v>
      </c>
      <c r="E107" s="97">
        <v>258</v>
      </c>
      <c r="F107" s="97">
        <v>73</v>
      </c>
      <c r="G107" s="97">
        <v>293</v>
      </c>
      <c r="H107" s="97">
        <v>173</v>
      </c>
      <c r="I107" s="98"/>
      <c r="J107" s="10">
        <f t="shared" si="3"/>
        <v>1.8540000000000001</v>
      </c>
      <c r="K107" s="11">
        <v>6</v>
      </c>
      <c r="L107" s="12">
        <f t="shared" si="4"/>
        <v>0.309</v>
      </c>
      <c r="M107" s="13">
        <f t="shared" si="5"/>
        <v>309</v>
      </c>
      <c r="N107" s="15"/>
    </row>
    <row r="108" spans="1:14" s="5" customFormat="1" ht="12">
      <c r="A108" s="40" t="s">
        <v>56</v>
      </c>
      <c r="B108" s="40" t="s">
        <v>565</v>
      </c>
      <c r="C108" s="97">
        <v>711</v>
      </c>
      <c r="D108" s="97">
        <v>698</v>
      </c>
      <c r="E108" s="97">
        <v>587</v>
      </c>
      <c r="F108" s="97">
        <v>218</v>
      </c>
      <c r="G108" s="97">
        <v>703</v>
      </c>
      <c r="H108" s="97">
        <v>461</v>
      </c>
      <c r="I108" s="98"/>
      <c r="J108" s="10">
        <f t="shared" si="3"/>
        <v>4.266</v>
      </c>
      <c r="K108" s="11">
        <v>6</v>
      </c>
      <c r="L108" s="12">
        <f t="shared" si="4"/>
        <v>0.71099999999999997</v>
      </c>
      <c r="M108" s="13">
        <f t="shared" si="5"/>
        <v>711</v>
      </c>
      <c r="N108" s="15"/>
    </row>
    <row r="109" spans="1:14" s="5" customFormat="1" ht="12">
      <c r="A109" s="40" t="s">
        <v>56</v>
      </c>
      <c r="B109" s="40" t="s">
        <v>877</v>
      </c>
      <c r="C109" s="97">
        <v>483</v>
      </c>
      <c r="D109" s="97">
        <v>470</v>
      </c>
      <c r="E109" s="97">
        <v>410</v>
      </c>
      <c r="F109" s="97">
        <v>141</v>
      </c>
      <c r="G109" s="97">
        <v>477</v>
      </c>
      <c r="H109" s="97">
        <v>292</v>
      </c>
      <c r="I109" s="98"/>
      <c r="J109" s="10">
        <f t="shared" si="3"/>
        <v>2.8979999999999997</v>
      </c>
      <c r="K109" s="11">
        <v>6</v>
      </c>
      <c r="L109" s="12">
        <f t="shared" si="4"/>
        <v>0.48299999999999998</v>
      </c>
      <c r="M109" s="13">
        <f t="shared" si="5"/>
        <v>483</v>
      </c>
      <c r="N109" s="15"/>
    </row>
    <row r="110" spans="1:14" s="5" customFormat="1" ht="12">
      <c r="A110" s="40" t="s">
        <v>68</v>
      </c>
      <c r="B110" s="40" t="s">
        <v>108</v>
      </c>
      <c r="C110" s="97">
        <v>794</v>
      </c>
      <c r="D110" s="97">
        <v>786</v>
      </c>
      <c r="E110" s="97">
        <v>677</v>
      </c>
      <c r="F110" s="97">
        <v>191</v>
      </c>
      <c r="G110" s="97">
        <v>770</v>
      </c>
      <c r="H110" s="97">
        <v>437</v>
      </c>
      <c r="I110" s="98"/>
      <c r="J110" s="10">
        <f t="shared" si="3"/>
        <v>4.7640000000000002</v>
      </c>
      <c r="K110" s="11">
        <v>6</v>
      </c>
      <c r="L110" s="12">
        <f t="shared" si="4"/>
        <v>0.79400000000000004</v>
      </c>
      <c r="M110" s="13">
        <f t="shared" si="5"/>
        <v>794</v>
      </c>
      <c r="N110" s="15"/>
    </row>
    <row r="111" spans="1:14" s="5" customFormat="1" ht="12">
      <c r="A111" s="40" t="s">
        <v>68</v>
      </c>
      <c r="B111" s="40" t="s">
        <v>112</v>
      </c>
      <c r="C111" s="97">
        <v>1742</v>
      </c>
      <c r="D111" s="97">
        <v>1724</v>
      </c>
      <c r="E111" s="97">
        <v>1460</v>
      </c>
      <c r="F111" s="97">
        <v>450</v>
      </c>
      <c r="G111" s="97">
        <v>1710</v>
      </c>
      <c r="H111" s="97">
        <v>1051</v>
      </c>
      <c r="I111" s="98"/>
      <c r="J111" s="10">
        <f t="shared" si="3"/>
        <v>10.452</v>
      </c>
      <c r="K111" s="11">
        <v>6</v>
      </c>
      <c r="L111" s="12">
        <f t="shared" si="4"/>
        <v>1.742</v>
      </c>
      <c r="M111" s="13">
        <f t="shared" si="5"/>
        <v>1742</v>
      </c>
      <c r="N111" s="15"/>
    </row>
    <row r="112" spans="1:14" s="5" customFormat="1" ht="12">
      <c r="A112" s="40" t="s">
        <v>68</v>
      </c>
      <c r="B112" s="40" t="s">
        <v>117</v>
      </c>
      <c r="C112" s="97">
        <v>1098</v>
      </c>
      <c r="D112" s="97">
        <v>1067</v>
      </c>
      <c r="E112" s="97">
        <v>833</v>
      </c>
      <c r="F112" s="97">
        <v>275</v>
      </c>
      <c r="G112" s="97">
        <v>1073</v>
      </c>
      <c r="H112" s="97">
        <v>635</v>
      </c>
      <c r="I112" s="98"/>
      <c r="J112" s="10">
        <f t="shared" si="3"/>
        <v>6.588000000000001</v>
      </c>
      <c r="K112" s="11">
        <v>6</v>
      </c>
      <c r="L112" s="12">
        <f t="shared" si="4"/>
        <v>1.0980000000000001</v>
      </c>
      <c r="M112" s="13">
        <f t="shared" si="5"/>
        <v>1098</v>
      </c>
      <c r="N112" s="15"/>
    </row>
    <row r="113" spans="1:14" s="5" customFormat="1" ht="12">
      <c r="A113" s="40" t="s">
        <v>68</v>
      </c>
      <c r="B113" s="40" t="s">
        <v>248</v>
      </c>
      <c r="C113" s="97">
        <v>883</v>
      </c>
      <c r="D113" s="97">
        <v>869</v>
      </c>
      <c r="E113" s="97">
        <v>732</v>
      </c>
      <c r="F113" s="97">
        <v>218</v>
      </c>
      <c r="G113" s="97">
        <v>862</v>
      </c>
      <c r="H113" s="97">
        <v>468</v>
      </c>
      <c r="I113" s="98"/>
      <c r="J113" s="10">
        <f t="shared" si="3"/>
        <v>5.298</v>
      </c>
      <c r="K113" s="11">
        <v>6</v>
      </c>
      <c r="L113" s="12">
        <f t="shared" si="4"/>
        <v>0.88300000000000001</v>
      </c>
      <c r="M113" s="13">
        <f t="shared" si="5"/>
        <v>883</v>
      </c>
      <c r="N113" s="15"/>
    </row>
    <row r="114" spans="1:14" s="5" customFormat="1" ht="12">
      <c r="A114" s="40" t="s">
        <v>68</v>
      </c>
      <c r="B114" s="40" t="s">
        <v>259</v>
      </c>
      <c r="C114" s="97">
        <v>1195</v>
      </c>
      <c r="D114" s="97">
        <v>1178</v>
      </c>
      <c r="E114" s="97">
        <v>952</v>
      </c>
      <c r="F114" s="97">
        <v>354</v>
      </c>
      <c r="G114" s="97">
        <v>1156</v>
      </c>
      <c r="H114" s="97">
        <v>741</v>
      </c>
      <c r="I114" s="98"/>
      <c r="J114" s="10">
        <f t="shared" si="3"/>
        <v>7.17</v>
      </c>
      <c r="K114" s="11">
        <v>6</v>
      </c>
      <c r="L114" s="12">
        <f t="shared" si="4"/>
        <v>1.1950000000000001</v>
      </c>
      <c r="M114" s="13">
        <f t="shared" si="5"/>
        <v>1195</v>
      </c>
      <c r="N114" s="15"/>
    </row>
    <row r="115" spans="1:14" s="5" customFormat="1" ht="12">
      <c r="A115" s="40" t="s">
        <v>68</v>
      </c>
      <c r="B115" s="40" t="s">
        <v>271</v>
      </c>
      <c r="C115" s="97">
        <v>848</v>
      </c>
      <c r="D115" s="97">
        <v>827</v>
      </c>
      <c r="E115" s="97">
        <v>668</v>
      </c>
      <c r="F115" s="97">
        <v>210</v>
      </c>
      <c r="G115" s="97">
        <v>823</v>
      </c>
      <c r="H115" s="97">
        <v>450</v>
      </c>
      <c r="I115" s="98"/>
      <c r="J115" s="10">
        <f t="shared" si="3"/>
        <v>5.0880000000000001</v>
      </c>
      <c r="K115" s="11">
        <v>6</v>
      </c>
      <c r="L115" s="12">
        <f t="shared" si="4"/>
        <v>0.84799999999999998</v>
      </c>
      <c r="M115" s="13">
        <f t="shared" si="5"/>
        <v>848</v>
      </c>
      <c r="N115" s="15"/>
    </row>
    <row r="116" spans="1:14" s="5" customFormat="1" ht="12">
      <c r="A116" s="40" t="s">
        <v>68</v>
      </c>
      <c r="B116" s="40" t="s">
        <v>290</v>
      </c>
      <c r="C116" s="97">
        <v>342</v>
      </c>
      <c r="D116" s="97">
        <v>337</v>
      </c>
      <c r="E116" s="97">
        <v>259</v>
      </c>
      <c r="F116" s="97">
        <v>59</v>
      </c>
      <c r="G116" s="97">
        <v>325</v>
      </c>
      <c r="H116" s="97">
        <v>168</v>
      </c>
      <c r="I116" s="98"/>
      <c r="J116" s="10">
        <f t="shared" si="3"/>
        <v>2.052</v>
      </c>
      <c r="K116" s="11">
        <v>6</v>
      </c>
      <c r="L116" s="12">
        <f t="shared" si="4"/>
        <v>0.34200000000000003</v>
      </c>
      <c r="M116" s="13">
        <f t="shared" si="5"/>
        <v>342</v>
      </c>
      <c r="N116" s="15"/>
    </row>
    <row r="117" spans="1:14" s="5" customFormat="1" ht="12">
      <c r="A117" s="40" t="s">
        <v>68</v>
      </c>
      <c r="B117" s="40" t="s">
        <v>350</v>
      </c>
      <c r="C117" s="97">
        <v>562</v>
      </c>
      <c r="D117" s="97">
        <v>551</v>
      </c>
      <c r="E117" s="97">
        <v>466</v>
      </c>
      <c r="F117" s="97">
        <v>125</v>
      </c>
      <c r="G117" s="97">
        <v>542</v>
      </c>
      <c r="H117" s="97">
        <v>300</v>
      </c>
      <c r="I117" s="98"/>
      <c r="J117" s="10">
        <f t="shared" si="3"/>
        <v>3.3720000000000003</v>
      </c>
      <c r="K117" s="11">
        <v>6</v>
      </c>
      <c r="L117" s="12">
        <f t="shared" si="4"/>
        <v>0.56200000000000006</v>
      </c>
      <c r="M117" s="13">
        <f t="shared" si="5"/>
        <v>562</v>
      </c>
      <c r="N117" s="15"/>
    </row>
    <row r="118" spans="1:14" s="5" customFormat="1" ht="12">
      <c r="A118" s="40" t="s">
        <v>68</v>
      </c>
      <c r="B118" s="40" t="s">
        <v>363</v>
      </c>
      <c r="C118" s="97">
        <v>329</v>
      </c>
      <c r="D118" s="97">
        <v>320</v>
      </c>
      <c r="E118" s="97">
        <v>240</v>
      </c>
      <c r="F118" s="97">
        <v>66</v>
      </c>
      <c r="G118" s="97">
        <v>313</v>
      </c>
      <c r="H118" s="97">
        <v>228</v>
      </c>
      <c r="I118" s="98"/>
      <c r="J118" s="10">
        <f t="shared" si="3"/>
        <v>1.9740000000000002</v>
      </c>
      <c r="K118" s="11">
        <v>6</v>
      </c>
      <c r="L118" s="12">
        <f t="shared" si="4"/>
        <v>0.32900000000000001</v>
      </c>
      <c r="M118" s="13">
        <f t="shared" si="5"/>
        <v>329</v>
      </c>
      <c r="N118" s="15"/>
    </row>
    <row r="119" spans="1:14" s="5" customFormat="1" ht="12">
      <c r="A119" s="40" t="s">
        <v>68</v>
      </c>
      <c r="B119" s="40" t="s">
        <v>368</v>
      </c>
      <c r="C119" s="97">
        <v>809</v>
      </c>
      <c r="D119" s="97">
        <v>795</v>
      </c>
      <c r="E119" s="97">
        <v>684</v>
      </c>
      <c r="F119" s="97">
        <v>247</v>
      </c>
      <c r="G119" s="97">
        <v>790</v>
      </c>
      <c r="H119" s="97">
        <v>519</v>
      </c>
      <c r="I119" s="98"/>
      <c r="J119" s="10">
        <f t="shared" si="3"/>
        <v>4.8540000000000001</v>
      </c>
      <c r="K119" s="11">
        <v>6</v>
      </c>
      <c r="L119" s="12">
        <f t="shared" si="4"/>
        <v>0.80900000000000005</v>
      </c>
      <c r="M119" s="13">
        <f t="shared" si="5"/>
        <v>809</v>
      </c>
      <c r="N119" s="15"/>
    </row>
    <row r="120" spans="1:14" s="5" customFormat="1" ht="12">
      <c r="A120" s="40" t="s">
        <v>68</v>
      </c>
      <c r="B120" s="40" t="s">
        <v>395</v>
      </c>
      <c r="C120" s="97">
        <v>1036</v>
      </c>
      <c r="D120" s="97">
        <v>1017</v>
      </c>
      <c r="E120" s="97">
        <v>888</v>
      </c>
      <c r="F120" s="97">
        <v>219</v>
      </c>
      <c r="G120" s="97">
        <v>1015</v>
      </c>
      <c r="H120" s="97">
        <v>565</v>
      </c>
      <c r="I120" s="98"/>
      <c r="J120" s="10">
        <f t="shared" si="3"/>
        <v>6.2160000000000002</v>
      </c>
      <c r="K120" s="11">
        <v>6</v>
      </c>
      <c r="L120" s="12">
        <f t="shared" si="4"/>
        <v>1.036</v>
      </c>
      <c r="M120" s="13">
        <f t="shared" si="5"/>
        <v>1036</v>
      </c>
      <c r="N120" s="15"/>
    </row>
    <row r="121" spans="1:14" s="5" customFormat="1" ht="12">
      <c r="A121" s="40" t="s">
        <v>68</v>
      </c>
      <c r="B121" s="40" t="s">
        <v>456</v>
      </c>
      <c r="C121" s="97">
        <v>984</v>
      </c>
      <c r="D121" s="97">
        <v>979</v>
      </c>
      <c r="E121" s="97">
        <v>802</v>
      </c>
      <c r="F121" s="97">
        <v>229</v>
      </c>
      <c r="G121" s="97">
        <v>953</v>
      </c>
      <c r="H121" s="97">
        <v>510</v>
      </c>
      <c r="I121" s="98"/>
      <c r="J121" s="10">
        <f t="shared" si="3"/>
        <v>5.9039999999999999</v>
      </c>
      <c r="K121" s="11">
        <v>6</v>
      </c>
      <c r="L121" s="12">
        <f t="shared" si="4"/>
        <v>0.98399999999999999</v>
      </c>
      <c r="M121" s="13">
        <f t="shared" si="5"/>
        <v>984</v>
      </c>
      <c r="N121" s="15"/>
    </row>
    <row r="122" spans="1:14" s="5" customFormat="1" ht="12">
      <c r="A122" s="40" t="s">
        <v>68</v>
      </c>
      <c r="B122" s="40" t="s">
        <v>510</v>
      </c>
      <c r="C122" s="97">
        <v>694</v>
      </c>
      <c r="D122" s="97">
        <v>683</v>
      </c>
      <c r="E122" s="97">
        <v>576</v>
      </c>
      <c r="F122" s="97">
        <v>150</v>
      </c>
      <c r="G122" s="97">
        <v>679</v>
      </c>
      <c r="H122" s="97">
        <v>380</v>
      </c>
      <c r="I122" s="98"/>
      <c r="J122" s="10">
        <f t="shared" si="3"/>
        <v>4.1639999999999997</v>
      </c>
      <c r="K122" s="11">
        <v>6</v>
      </c>
      <c r="L122" s="12">
        <f t="shared" si="4"/>
        <v>0.69399999999999995</v>
      </c>
      <c r="M122" s="13">
        <f t="shared" si="5"/>
        <v>694</v>
      </c>
      <c r="N122" s="15"/>
    </row>
    <row r="123" spans="1:14" s="5" customFormat="1" ht="12">
      <c r="A123" s="40" t="s">
        <v>68</v>
      </c>
      <c r="B123" s="40" t="s">
        <v>1064</v>
      </c>
      <c r="C123" s="97">
        <v>584</v>
      </c>
      <c r="D123" s="97">
        <v>582</v>
      </c>
      <c r="E123" s="97">
        <v>478</v>
      </c>
      <c r="F123" s="97">
        <v>156</v>
      </c>
      <c r="G123" s="97">
        <v>575</v>
      </c>
      <c r="H123" s="97">
        <v>365</v>
      </c>
      <c r="I123" s="98"/>
      <c r="J123" s="10">
        <f t="shared" si="3"/>
        <v>3.5039999999999996</v>
      </c>
      <c r="K123" s="11">
        <v>6</v>
      </c>
      <c r="L123" s="12">
        <f t="shared" si="4"/>
        <v>0.58399999999999996</v>
      </c>
      <c r="M123" s="13">
        <f t="shared" si="5"/>
        <v>584</v>
      </c>
      <c r="N123" s="15"/>
    </row>
    <row r="124" spans="1:14" s="5" customFormat="1" ht="12">
      <c r="A124" s="40" t="s">
        <v>68</v>
      </c>
      <c r="B124" s="40" t="s">
        <v>1204</v>
      </c>
      <c r="C124" s="97">
        <v>366</v>
      </c>
      <c r="D124" s="97">
        <v>357</v>
      </c>
      <c r="E124" s="97">
        <v>302</v>
      </c>
      <c r="F124" s="97">
        <v>76</v>
      </c>
      <c r="G124" s="97">
        <v>353</v>
      </c>
      <c r="H124" s="97">
        <v>191</v>
      </c>
      <c r="I124" s="98"/>
      <c r="J124" s="10">
        <f t="shared" si="3"/>
        <v>2.1959999999999997</v>
      </c>
      <c r="K124" s="11">
        <v>6</v>
      </c>
      <c r="L124" s="12">
        <f t="shared" si="4"/>
        <v>0.36599999999999999</v>
      </c>
      <c r="M124" s="13">
        <f t="shared" si="5"/>
        <v>366</v>
      </c>
      <c r="N124" s="15"/>
    </row>
    <row r="125" spans="1:14" s="5" customFormat="1" ht="12">
      <c r="A125" s="40" t="s">
        <v>68</v>
      </c>
      <c r="B125" s="40" t="s">
        <v>1455</v>
      </c>
      <c r="C125" s="97">
        <v>517</v>
      </c>
      <c r="D125" s="97">
        <v>498</v>
      </c>
      <c r="E125" s="97">
        <v>437</v>
      </c>
      <c r="F125" s="97">
        <v>96</v>
      </c>
      <c r="G125" s="97">
        <v>508</v>
      </c>
      <c r="H125" s="97">
        <v>256</v>
      </c>
      <c r="I125" s="98"/>
      <c r="J125" s="10">
        <f t="shared" si="3"/>
        <v>3.1020000000000003</v>
      </c>
      <c r="K125" s="11">
        <v>6</v>
      </c>
      <c r="L125" s="12">
        <f t="shared" si="4"/>
        <v>0.51700000000000002</v>
      </c>
      <c r="M125" s="13">
        <f t="shared" si="5"/>
        <v>517</v>
      </c>
      <c r="N125" s="15"/>
    </row>
    <row r="126" spans="1:14" s="5" customFormat="1" ht="12">
      <c r="A126" s="40" t="s">
        <v>68</v>
      </c>
      <c r="B126" s="40" t="s">
        <v>1456</v>
      </c>
      <c r="C126" s="97">
        <v>583</v>
      </c>
      <c r="D126" s="97">
        <v>574</v>
      </c>
      <c r="E126" s="97">
        <v>473</v>
      </c>
      <c r="F126" s="97">
        <v>136</v>
      </c>
      <c r="G126" s="97">
        <v>570</v>
      </c>
      <c r="H126" s="97">
        <v>304</v>
      </c>
      <c r="I126" s="98"/>
      <c r="J126" s="10">
        <f t="shared" si="3"/>
        <v>3.4979999999999998</v>
      </c>
      <c r="K126" s="11">
        <v>6</v>
      </c>
      <c r="L126" s="12">
        <f t="shared" si="4"/>
        <v>0.58299999999999996</v>
      </c>
      <c r="M126" s="13">
        <f t="shared" si="5"/>
        <v>583</v>
      </c>
      <c r="N126" s="15"/>
    </row>
    <row r="127" spans="1:14" s="5" customFormat="1" ht="12">
      <c r="A127" s="40" t="s">
        <v>68</v>
      </c>
      <c r="B127" s="40" t="s">
        <v>1458</v>
      </c>
      <c r="C127" s="97">
        <v>351</v>
      </c>
      <c r="D127" s="97">
        <v>344</v>
      </c>
      <c r="E127" s="97">
        <v>276</v>
      </c>
      <c r="F127" s="97">
        <v>79</v>
      </c>
      <c r="G127" s="97">
        <v>343</v>
      </c>
      <c r="H127" s="97">
        <v>192</v>
      </c>
      <c r="I127" s="98"/>
      <c r="J127" s="10">
        <f t="shared" si="3"/>
        <v>2.1059999999999999</v>
      </c>
      <c r="K127" s="11">
        <v>6</v>
      </c>
      <c r="L127" s="12">
        <f t="shared" si="4"/>
        <v>0.35099999999999998</v>
      </c>
      <c r="M127" s="13">
        <f t="shared" si="5"/>
        <v>351</v>
      </c>
      <c r="N127" s="15"/>
    </row>
    <row r="128" spans="1:14" s="5" customFormat="1" ht="12">
      <c r="A128" s="40" t="s">
        <v>68</v>
      </c>
      <c r="B128" s="40" t="s">
        <v>1494</v>
      </c>
      <c r="C128" s="97">
        <v>804</v>
      </c>
      <c r="D128" s="97">
        <v>790</v>
      </c>
      <c r="E128" s="97">
        <v>631</v>
      </c>
      <c r="F128" s="97">
        <v>130</v>
      </c>
      <c r="G128" s="97">
        <v>792</v>
      </c>
      <c r="H128" s="97">
        <v>379</v>
      </c>
      <c r="I128" s="98"/>
      <c r="J128" s="10">
        <f t="shared" ref="J128:J191" si="6">+K128*L128</f>
        <v>4.8239999999999998</v>
      </c>
      <c r="K128" s="11">
        <v>6</v>
      </c>
      <c r="L128" s="12">
        <f t="shared" ref="L128:L191" si="7">+M128/1000</f>
        <v>0.80400000000000005</v>
      </c>
      <c r="M128" s="13">
        <f t="shared" ref="M128:M191" si="8">+C128</f>
        <v>804</v>
      </c>
      <c r="N128" s="15"/>
    </row>
    <row r="129" spans="1:16" s="5" customFormat="1" ht="12">
      <c r="A129" s="40" t="s">
        <v>68</v>
      </c>
      <c r="B129" s="40" t="s">
        <v>1952</v>
      </c>
      <c r="C129" s="97">
        <v>10771</v>
      </c>
      <c r="D129" s="97">
        <v>10735</v>
      </c>
      <c r="E129" s="97">
        <v>9332</v>
      </c>
      <c r="F129" s="97">
        <v>3190</v>
      </c>
      <c r="G129" s="97">
        <v>10657</v>
      </c>
      <c r="H129" s="97">
        <v>6934</v>
      </c>
      <c r="I129" s="98"/>
      <c r="J129" s="10">
        <f t="shared" si="6"/>
        <v>53.855000000000004</v>
      </c>
      <c r="K129" s="11">
        <v>5</v>
      </c>
      <c r="L129" s="12">
        <f t="shared" si="7"/>
        <v>10.771000000000001</v>
      </c>
      <c r="M129" s="13">
        <f t="shared" si="8"/>
        <v>10771</v>
      </c>
      <c r="N129" s="15"/>
    </row>
    <row r="130" spans="1:16" s="5" customFormat="1" ht="12">
      <c r="A130" s="40" t="s">
        <v>68</v>
      </c>
      <c r="B130" s="40" t="s">
        <v>1832</v>
      </c>
      <c r="C130" s="97">
        <v>408</v>
      </c>
      <c r="D130" s="97">
        <v>401</v>
      </c>
      <c r="E130" s="97">
        <v>323</v>
      </c>
      <c r="F130" s="97">
        <v>97</v>
      </c>
      <c r="G130" s="97">
        <v>403</v>
      </c>
      <c r="H130" s="97">
        <v>232</v>
      </c>
      <c r="I130" s="98"/>
      <c r="J130" s="10">
        <f t="shared" si="6"/>
        <v>2.448</v>
      </c>
      <c r="K130" s="11">
        <v>6</v>
      </c>
      <c r="L130" s="12">
        <f t="shared" si="7"/>
        <v>0.40799999999999997</v>
      </c>
      <c r="M130" s="13">
        <f t="shared" si="8"/>
        <v>408</v>
      </c>
      <c r="N130" s="15"/>
    </row>
    <row r="131" spans="1:16" s="5" customFormat="1" ht="12">
      <c r="A131" s="40" t="s">
        <v>68</v>
      </c>
      <c r="B131" s="40" t="s">
        <v>1833</v>
      </c>
      <c r="C131" s="97">
        <v>930</v>
      </c>
      <c r="D131" s="97">
        <v>909</v>
      </c>
      <c r="E131" s="97">
        <v>760</v>
      </c>
      <c r="F131" s="97">
        <v>181</v>
      </c>
      <c r="G131" s="97">
        <v>912</v>
      </c>
      <c r="H131" s="97">
        <v>439</v>
      </c>
      <c r="I131" s="98"/>
      <c r="J131" s="10">
        <f t="shared" si="6"/>
        <v>5.58</v>
      </c>
      <c r="K131" s="11">
        <v>6</v>
      </c>
      <c r="L131" s="12">
        <f t="shared" si="7"/>
        <v>0.93</v>
      </c>
      <c r="M131" s="13">
        <f t="shared" si="8"/>
        <v>930</v>
      </c>
      <c r="N131" s="15"/>
    </row>
    <row r="132" spans="1:16" s="5" customFormat="1" ht="12">
      <c r="A132" s="40" t="s">
        <v>68</v>
      </c>
      <c r="B132" s="40" t="s">
        <v>1919</v>
      </c>
      <c r="C132" s="97">
        <v>626</v>
      </c>
      <c r="D132" s="97">
        <v>610</v>
      </c>
      <c r="E132" s="97">
        <v>507</v>
      </c>
      <c r="F132" s="97">
        <v>145</v>
      </c>
      <c r="G132" s="97">
        <v>621</v>
      </c>
      <c r="H132" s="97">
        <v>333</v>
      </c>
      <c r="I132" s="98"/>
      <c r="J132" s="10">
        <f t="shared" si="6"/>
        <v>3.7560000000000002</v>
      </c>
      <c r="K132" s="11">
        <v>6</v>
      </c>
      <c r="L132" s="12">
        <f t="shared" si="7"/>
        <v>0.626</v>
      </c>
      <c r="M132" s="13">
        <f t="shared" si="8"/>
        <v>626</v>
      </c>
      <c r="N132" s="15"/>
    </row>
    <row r="133" spans="1:16" s="5" customFormat="1" ht="12">
      <c r="A133" s="40" t="s">
        <v>209</v>
      </c>
      <c r="B133" s="40" t="s">
        <v>210</v>
      </c>
      <c r="C133" s="97">
        <v>643</v>
      </c>
      <c r="D133" s="97">
        <v>610</v>
      </c>
      <c r="E133" s="97">
        <v>448</v>
      </c>
      <c r="F133" s="97">
        <v>133</v>
      </c>
      <c r="G133" s="97">
        <v>629</v>
      </c>
      <c r="H133" s="97">
        <v>322</v>
      </c>
      <c r="I133" s="98"/>
      <c r="J133" s="10">
        <f t="shared" si="6"/>
        <v>3.8580000000000001</v>
      </c>
      <c r="K133" s="11">
        <v>6</v>
      </c>
      <c r="L133" s="12">
        <f t="shared" si="7"/>
        <v>0.64300000000000002</v>
      </c>
      <c r="M133" s="13">
        <f t="shared" si="8"/>
        <v>643</v>
      </c>
      <c r="N133" s="15"/>
    </row>
    <row r="134" spans="1:16" s="5" customFormat="1" ht="12">
      <c r="A134" s="40" t="s">
        <v>209</v>
      </c>
      <c r="B134" s="40" t="s">
        <v>231</v>
      </c>
      <c r="C134" s="97">
        <v>1080</v>
      </c>
      <c r="D134" s="97">
        <v>1039</v>
      </c>
      <c r="E134" s="97">
        <v>840</v>
      </c>
      <c r="F134" s="97">
        <v>199</v>
      </c>
      <c r="G134" s="97">
        <v>1048</v>
      </c>
      <c r="H134" s="97">
        <v>519</v>
      </c>
      <c r="I134" s="98"/>
      <c r="J134" s="10">
        <f t="shared" si="6"/>
        <v>6.48</v>
      </c>
      <c r="K134" s="11">
        <v>6</v>
      </c>
      <c r="L134" s="12">
        <f t="shared" si="7"/>
        <v>1.08</v>
      </c>
      <c r="M134" s="13">
        <f t="shared" si="8"/>
        <v>1080</v>
      </c>
      <c r="N134" s="15"/>
    </row>
    <row r="135" spans="1:16" s="5" customFormat="1" ht="12">
      <c r="A135" s="40" t="s">
        <v>209</v>
      </c>
      <c r="B135" s="40" t="s">
        <v>294</v>
      </c>
      <c r="C135" s="97">
        <v>934</v>
      </c>
      <c r="D135" s="97">
        <v>900</v>
      </c>
      <c r="E135" s="97">
        <v>761</v>
      </c>
      <c r="F135" s="97">
        <v>228</v>
      </c>
      <c r="G135" s="97">
        <v>909</v>
      </c>
      <c r="H135" s="97">
        <v>494</v>
      </c>
      <c r="I135" s="98"/>
      <c r="J135" s="10">
        <f t="shared" si="6"/>
        <v>5.6040000000000001</v>
      </c>
      <c r="K135" s="11">
        <v>6</v>
      </c>
      <c r="L135" s="12">
        <f t="shared" si="7"/>
        <v>0.93400000000000005</v>
      </c>
      <c r="M135" s="13">
        <f t="shared" si="8"/>
        <v>934</v>
      </c>
      <c r="N135" s="15"/>
    </row>
    <row r="136" spans="1:16" s="5" customFormat="1" ht="12">
      <c r="A136" s="40" t="s">
        <v>209</v>
      </c>
      <c r="B136" s="40" t="s">
        <v>392</v>
      </c>
      <c r="C136" s="97">
        <v>1404</v>
      </c>
      <c r="D136" s="97">
        <v>1377</v>
      </c>
      <c r="E136" s="97">
        <v>1086</v>
      </c>
      <c r="F136" s="97">
        <v>265</v>
      </c>
      <c r="G136" s="97">
        <v>1374</v>
      </c>
      <c r="H136" s="97">
        <v>733</v>
      </c>
      <c r="I136" s="98"/>
      <c r="J136" s="10">
        <f t="shared" si="6"/>
        <v>8.4239999999999995</v>
      </c>
      <c r="K136" s="11">
        <v>6</v>
      </c>
      <c r="L136" s="12">
        <f t="shared" si="7"/>
        <v>1.4039999999999999</v>
      </c>
      <c r="M136" s="13">
        <f t="shared" si="8"/>
        <v>1404</v>
      </c>
      <c r="N136" s="15"/>
    </row>
    <row r="137" spans="1:16" s="5" customFormat="1" ht="12">
      <c r="A137" s="40" t="s">
        <v>209</v>
      </c>
      <c r="B137" s="40" t="s">
        <v>529</v>
      </c>
      <c r="C137" s="97">
        <v>720</v>
      </c>
      <c r="D137" s="97">
        <v>706</v>
      </c>
      <c r="E137" s="97">
        <v>582</v>
      </c>
      <c r="F137" s="97">
        <v>156</v>
      </c>
      <c r="G137" s="97">
        <v>689</v>
      </c>
      <c r="H137" s="97">
        <v>368</v>
      </c>
      <c r="I137" s="98"/>
      <c r="J137" s="10">
        <f t="shared" si="6"/>
        <v>4.32</v>
      </c>
      <c r="K137" s="11">
        <v>6</v>
      </c>
      <c r="L137" s="12">
        <f t="shared" si="7"/>
        <v>0.72</v>
      </c>
      <c r="M137" s="13">
        <f t="shared" si="8"/>
        <v>720</v>
      </c>
      <c r="N137" s="15"/>
    </row>
    <row r="138" spans="1:16" s="2" customFormat="1" ht="12">
      <c r="A138" s="40" t="s">
        <v>209</v>
      </c>
      <c r="B138" s="40" t="s">
        <v>689</v>
      </c>
      <c r="C138" s="97">
        <v>886</v>
      </c>
      <c r="D138" s="97">
        <v>857</v>
      </c>
      <c r="E138" s="97">
        <v>683</v>
      </c>
      <c r="F138" s="97">
        <v>164</v>
      </c>
      <c r="G138" s="97">
        <v>863</v>
      </c>
      <c r="H138" s="97">
        <v>409</v>
      </c>
      <c r="I138" s="98"/>
      <c r="J138" s="10">
        <f t="shared" si="6"/>
        <v>5.3159999999999998</v>
      </c>
      <c r="K138" s="11">
        <v>6</v>
      </c>
      <c r="L138" s="12">
        <f t="shared" si="7"/>
        <v>0.88600000000000001</v>
      </c>
      <c r="M138" s="13">
        <f t="shared" si="8"/>
        <v>886</v>
      </c>
      <c r="N138" s="15"/>
      <c r="O138" s="5"/>
      <c r="P138" s="5"/>
    </row>
    <row r="139" spans="1:16" s="2" customFormat="1" ht="12">
      <c r="A139" s="40" t="s">
        <v>209</v>
      </c>
      <c r="B139" s="40" t="s">
        <v>797</v>
      </c>
      <c r="C139" s="97">
        <v>314</v>
      </c>
      <c r="D139" s="97">
        <v>305</v>
      </c>
      <c r="E139" s="97">
        <v>243</v>
      </c>
      <c r="F139" s="97">
        <v>68</v>
      </c>
      <c r="G139" s="97">
        <v>303</v>
      </c>
      <c r="H139" s="97">
        <v>147</v>
      </c>
      <c r="I139" s="98"/>
      <c r="J139" s="10">
        <f t="shared" si="6"/>
        <v>1.8839999999999999</v>
      </c>
      <c r="K139" s="11">
        <v>6</v>
      </c>
      <c r="L139" s="12">
        <f t="shared" si="7"/>
        <v>0.314</v>
      </c>
      <c r="M139" s="13">
        <f t="shared" si="8"/>
        <v>314</v>
      </c>
      <c r="N139" s="15"/>
      <c r="O139" s="5"/>
      <c r="P139" s="5"/>
    </row>
    <row r="140" spans="1:16" s="5" customFormat="1" ht="12">
      <c r="A140" s="40" t="s">
        <v>209</v>
      </c>
      <c r="B140" s="40" t="s">
        <v>908</v>
      </c>
      <c r="C140" s="97">
        <v>493</v>
      </c>
      <c r="D140" s="97">
        <v>481</v>
      </c>
      <c r="E140" s="97">
        <v>343</v>
      </c>
      <c r="F140" s="97">
        <v>109</v>
      </c>
      <c r="G140" s="97">
        <v>476</v>
      </c>
      <c r="H140" s="97">
        <v>264</v>
      </c>
      <c r="I140" s="98"/>
      <c r="J140" s="10">
        <f t="shared" si="6"/>
        <v>2.9580000000000002</v>
      </c>
      <c r="K140" s="11">
        <v>6</v>
      </c>
      <c r="L140" s="12">
        <f t="shared" si="7"/>
        <v>0.49299999999999999</v>
      </c>
      <c r="M140" s="13">
        <f t="shared" si="8"/>
        <v>493</v>
      </c>
      <c r="N140" s="15"/>
    </row>
    <row r="141" spans="1:16" s="5" customFormat="1" ht="12">
      <c r="A141" s="40" t="s">
        <v>209</v>
      </c>
      <c r="B141" s="40" t="s">
        <v>999</v>
      </c>
      <c r="C141" s="97">
        <v>562</v>
      </c>
      <c r="D141" s="97">
        <v>534</v>
      </c>
      <c r="E141" s="97">
        <v>410</v>
      </c>
      <c r="F141" s="97">
        <v>81</v>
      </c>
      <c r="G141" s="97">
        <v>552</v>
      </c>
      <c r="H141" s="97">
        <v>229</v>
      </c>
      <c r="I141" s="98"/>
      <c r="J141" s="10">
        <f t="shared" si="6"/>
        <v>3.3720000000000003</v>
      </c>
      <c r="K141" s="11">
        <v>6</v>
      </c>
      <c r="L141" s="12">
        <f t="shared" si="7"/>
        <v>0.56200000000000006</v>
      </c>
      <c r="M141" s="13">
        <f t="shared" si="8"/>
        <v>562</v>
      </c>
      <c r="N141" s="15"/>
    </row>
    <row r="142" spans="1:16" s="5" customFormat="1" ht="12">
      <c r="A142" s="40" t="s">
        <v>209</v>
      </c>
      <c r="B142" s="40" t="s">
        <v>1074</v>
      </c>
      <c r="C142" s="97">
        <v>1150</v>
      </c>
      <c r="D142" s="97">
        <v>1113</v>
      </c>
      <c r="E142" s="97">
        <v>874</v>
      </c>
      <c r="F142" s="97">
        <v>209</v>
      </c>
      <c r="G142" s="97">
        <v>1125</v>
      </c>
      <c r="H142" s="97">
        <v>583</v>
      </c>
      <c r="I142" s="98"/>
      <c r="J142" s="10">
        <f t="shared" si="6"/>
        <v>6.8999999999999995</v>
      </c>
      <c r="K142" s="11">
        <v>6</v>
      </c>
      <c r="L142" s="12">
        <f t="shared" si="7"/>
        <v>1.1499999999999999</v>
      </c>
      <c r="M142" s="13">
        <f t="shared" si="8"/>
        <v>1150</v>
      </c>
      <c r="N142" s="15"/>
    </row>
    <row r="143" spans="1:16" s="5" customFormat="1" ht="12">
      <c r="A143" s="40" t="s">
        <v>209</v>
      </c>
      <c r="B143" s="40" t="s">
        <v>1075</v>
      </c>
      <c r="C143" s="97">
        <v>321</v>
      </c>
      <c r="D143" s="97">
        <v>310</v>
      </c>
      <c r="E143" s="97">
        <v>199</v>
      </c>
      <c r="F143" s="97">
        <v>47</v>
      </c>
      <c r="G143" s="97">
        <v>312</v>
      </c>
      <c r="H143" s="97">
        <v>173</v>
      </c>
      <c r="I143" s="98"/>
      <c r="J143" s="10">
        <f t="shared" si="6"/>
        <v>1.9260000000000002</v>
      </c>
      <c r="K143" s="11">
        <v>6</v>
      </c>
      <c r="L143" s="12">
        <f t="shared" si="7"/>
        <v>0.32100000000000001</v>
      </c>
      <c r="M143" s="13">
        <f t="shared" si="8"/>
        <v>321</v>
      </c>
      <c r="N143" s="15"/>
    </row>
    <row r="144" spans="1:16" s="5" customFormat="1" ht="12">
      <c r="A144" s="40" t="s">
        <v>209</v>
      </c>
      <c r="B144" s="40" t="s">
        <v>1107</v>
      </c>
      <c r="C144" s="97">
        <v>441</v>
      </c>
      <c r="D144" s="97">
        <v>434</v>
      </c>
      <c r="E144" s="97">
        <v>316</v>
      </c>
      <c r="F144" s="97">
        <v>72</v>
      </c>
      <c r="G144" s="97">
        <v>437</v>
      </c>
      <c r="H144" s="97">
        <v>217</v>
      </c>
      <c r="I144" s="98"/>
      <c r="J144" s="10">
        <f t="shared" si="6"/>
        <v>2.6459999999999999</v>
      </c>
      <c r="K144" s="11">
        <v>6</v>
      </c>
      <c r="L144" s="12">
        <f t="shared" si="7"/>
        <v>0.441</v>
      </c>
      <c r="M144" s="13">
        <f t="shared" si="8"/>
        <v>441</v>
      </c>
      <c r="N144" s="15"/>
    </row>
    <row r="145" spans="1:16" s="5" customFormat="1" ht="12">
      <c r="A145" s="40" t="s">
        <v>209</v>
      </c>
      <c r="B145" s="40" t="s">
        <v>1157</v>
      </c>
      <c r="C145" s="97">
        <v>626</v>
      </c>
      <c r="D145" s="97">
        <v>611</v>
      </c>
      <c r="E145" s="97">
        <v>509</v>
      </c>
      <c r="F145" s="97">
        <v>133</v>
      </c>
      <c r="G145" s="97">
        <v>605</v>
      </c>
      <c r="H145" s="97">
        <v>327</v>
      </c>
      <c r="I145" s="98"/>
      <c r="J145" s="10">
        <f t="shared" si="6"/>
        <v>3.7560000000000002</v>
      </c>
      <c r="K145" s="11">
        <v>6</v>
      </c>
      <c r="L145" s="12">
        <f t="shared" si="7"/>
        <v>0.626</v>
      </c>
      <c r="M145" s="13">
        <f t="shared" si="8"/>
        <v>626</v>
      </c>
      <c r="N145" s="15"/>
    </row>
    <row r="146" spans="1:16" s="2" customFormat="1" ht="12">
      <c r="A146" s="40" t="s">
        <v>209</v>
      </c>
      <c r="B146" s="40" t="s">
        <v>1207</v>
      </c>
      <c r="C146" s="97">
        <v>1365</v>
      </c>
      <c r="D146" s="97">
        <v>1326</v>
      </c>
      <c r="E146" s="97">
        <v>1116</v>
      </c>
      <c r="F146" s="97">
        <v>307</v>
      </c>
      <c r="G146" s="97">
        <v>1334</v>
      </c>
      <c r="H146" s="97">
        <v>773</v>
      </c>
      <c r="I146" s="98"/>
      <c r="J146" s="10">
        <f t="shared" si="6"/>
        <v>8.19</v>
      </c>
      <c r="K146" s="11">
        <v>6</v>
      </c>
      <c r="L146" s="12">
        <f t="shared" si="7"/>
        <v>1.365</v>
      </c>
      <c r="M146" s="13">
        <f t="shared" si="8"/>
        <v>1365</v>
      </c>
      <c r="N146" s="15"/>
      <c r="O146" s="5"/>
      <c r="P146" s="5"/>
    </row>
    <row r="147" spans="1:16" s="2" customFormat="1" ht="12">
      <c r="A147" s="40" t="s">
        <v>209</v>
      </c>
      <c r="B147" s="40" t="s">
        <v>1267</v>
      </c>
      <c r="C147" s="97">
        <v>810</v>
      </c>
      <c r="D147" s="97">
        <v>791</v>
      </c>
      <c r="E147" s="97">
        <v>594</v>
      </c>
      <c r="F147" s="97">
        <v>170</v>
      </c>
      <c r="G147" s="97">
        <v>792</v>
      </c>
      <c r="H147" s="97">
        <v>408</v>
      </c>
      <c r="I147" s="98"/>
      <c r="J147" s="10">
        <f t="shared" si="6"/>
        <v>4.8600000000000003</v>
      </c>
      <c r="K147" s="11">
        <v>6</v>
      </c>
      <c r="L147" s="12">
        <f t="shared" si="7"/>
        <v>0.81</v>
      </c>
      <c r="M147" s="13">
        <f t="shared" si="8"/>
        <v>810</v>
      </c>
      <c r="N147" s="15"/>
      <c r="O147" s="5"/>
      <c r="P147" s="5"/>
    </row>
    <row r="148" spans="1:16" s="5" customFormat="1" ht="12">
      <c r="A148" s="40" t="s">
        <v>209</v>
      </c>
      <c r="B148" s="40" t="s">
        <v>1316</v>
      </c>
      <c r="C148" s="97">
        <v>350</v>
      </c>
      <c r="D148" s="97">
        <v>328</v>
      </c>
      <c r="E148" s="97">
        <v>252</v>
      </c>
      <c r="F148" s="97">
        <v>66</v>
      </c>
      <c r="G148" s="97">
        <v>349</v>
      </c>
      <c r="H148" s="97">
        <v>167</v>
      </c>
      <c r="I148" s="98"/>
      <c r="J148" s="10">
        <f t="shared" si="6"/>
        <v>2.0999999999999996</v>
      </c>
      <c r="K148" s="11">
        <v>6</v>
      </c>
      <c r="L148" s="12">
        <f t="shared" si="7"/>
        <v>0.35</v>
      </c>
      <c r="M148" s="13">
        <f t="shared" si="8"/>
        <v>350</v>
      </c>
      <c r="N148" s="15"/>
    </row>
    <row r="149" spans="1:16" s="5" customFormat="1" ht="12">
      <c r="A149" s="40" t="s">
        <v>209</v>
      </c>
      <c r="B149" s="40" t="s">
        <v>1341</v>
      </c>
      <c r="C149" s="97">
        <v>826</v>
      </c>
      <c r="D149" s="97">
        <v>791</v>
      </c>
      <c r="E149" s="97">
        <v>583</v>
      </c>
      <c r="F149" s="97">
        <v>160</v>
      </c>
      <c r="G149" s="97">
        <v>791</v>
      </c>
      <c r="H149" s="97">
        <v>397</v>
      </c>
      <c r="I149" s="98"/>
      <c r="J149" s="10">
        <f t="shared" si="6"/>
        <v>4.9559999999999995</v>
      </c>
      <c r="K149" s="11">
        <v>6</v>
      </c>
      <c r="L149" s="12">
        <f t="shared" si="7"/>
        <v>0.82599999999999996</v>
      </c>
      <c r="M149" s="13">
        <f t="shared" si="8"/>
        <v>826</v>
      </c>
      <c r="N149" s="15"/>
    </row>
    <row r="150" spans="1:16" s="5" customFormat="1" ht="12">
      <c r="A150" s="40" t="s">
        <v>209</v>
      </c>
      <c r="B150" s="40" t="s">
        <v>1485</v>
      </c>
      <c r="C150" s="97">
        <v>589</v>
      </c>
      <c r="D150" s="97">
        <v>562</v>
      </c>
      <c r="E150" s="97">
        <v>428</v>
      </c>
      <c r="F150" s="97">
        <v>103</v>
      </c>
      <c r="G150" s="97">
        <v>573</v>
      </c>
      <c r="H150" s="97">
        <v>260</v>
      </c>
      <c r="I150" s="98"/>
      <c r="J150" s="10">
        <f t="shared" si="6"/>
        <v>3.5339999999999998</v>
      </c>
      <c r="K150" s="11">
        <v>6</v>
      </c>
      <c r="L150" s="12">
        <f t="shared" si="7"/>
        <v>0.58899999999999997</v>
      </c>
      <c r="M150" s="13">
        <f t="shared" si="8"/>
        <v>589</v>
      </c>
      <c r="N150" s="15"/>
    </row>
    <row r="151" spans="1:16" s="5" customFormat="1" ht="12">
      <c r="A151" s="40" t="s">
        <v>209</v>
      </c>
      <c r="B151" s="40" t="s">
        <v>1577</v>
      </c>
      <c r="C151" s="97">
        <v>1209</v>
      </c>
      <c r="D151" s="97">
        <v>1170</v>
      </c>
      <c r="E151" s="97">
        <v>884</v>
      </c>
      <c r="F151" s="97">
        <v>196</v>
      </c>
      <c r="G151" s="97">
        <v>1190</v>
      </c>
      <c r="H151" s="97">
        <v>595</v>
      </c>
      <c r="I151" s="98"/>
      <c r="J151" s="10">
        <f t="shared" si="6"/>
        <v>7.2540000000000004</v>
      </c>
      <c r="K151" s="11">
        <v>6</v>
      </c>
      <c r="L151" s="12">
        <f t="shared" si="7"/>
        <v>1.2090000000000001</v>
      </c>
      <c r="M151" s="13">
        <f t="shared" si="8"/>
        <v>1209</v>
      </c>
      <c r="N151" s="15"/>
    </row>
    <row r="152" spans="1:16" s="5" customFormat="1" ht="12">
      <c r="A152" s="40" t="s">
        <v>209</v>
      </c>
      <c r="B152" s="40" t="s">
        <v>1603</v>
      </c>
      <c r="C152" s="97">
        <v>307</v>
      </c>
      <c r="D152" s="97">
        <v>303</v>
      </c>
      <c r="E152" s="97">
        <v>221</v>
      </c>
      <c r="F152" s="97">
        <v>57</v>
      </c>
      <c r="G152" s="97">
        <v>294</v>
      </c>
      <c r="H152" s="97">
        <v>140</v>
      </c>
      <c r="I152" s="98"/>
      <c r="J152" s="10">
        <f t="shared" si="6"/>
        <v>1.8420000000000001</v>
      </c>
      <c r="K152" s="11">
        <v>6</v>
      </c>
      <c r="L152" s="12">
        <f t="shared" si="7"/>
        <v>0.307</v>
      </c>
      <c r="M152" s="13">
        <f t="shared" si="8"/>
        <v>307</v>
      </c>
      <c r="N152" s="15"/>
    </row>
    <row r="153" spans="1:16" s="5" customFormat="1" ht="12">
      <c r="A153" s="40" t="s">
        <v>209</v>
      </c>
      <c r="B153" s="40" t="s">
        <v>1643</v>
      </c>
      <c r="C153" s="97">
        <v>505</v>
      </c>
      <c r="D153" s="97">
        <v>490</v>
      </c>
      <c r="E153" s="97">
        <v>407</v>
      </c>
      <c r="F153" s="97">
        <v>107</v>
      </c>
      <c r="G153" s="97">
        <v>493</v>
      </c>
      <c r="H153" s="97">
        <v>266</v>
      </c>
      <c r="I153" s="98"/>
      <c r="J153" s="10">
        <f t="shared" si="6"/>
        <v>3.0300000000000002</v>
      </c>
      <c r="K153" s="11">
        <v>6</v>
      </c>
      <c r="L153" s="12">
        <f t="shared" si="7"/>
        <v>0.505</v>
      </c>
      <c r="M153" s="13">
        <f t="shared" si="8"/>
        <v>505</v>
      </c>
      <c r="N153" s="15"/>
    </row>
    <row r="154" spans="1:16" s="5" customFormat="1" ht="12">
      <c r="A154" s="40" t="s">
        <v>209</v>
      </c>
      <c r="B154" s="40" t="s">
        <v>1821</v>
      </c>
      <c r="C154" s="97">
        <v>424</v>
      </c>
      <c r="D154" s="97">
        <v>411</v>
      </c>
      <c r="E154" s="97">
        <v>329</v>
      </c>
      <c r="F154" s="97">
        <v>72</v>
      </c>
      <c r="G154" s="97">
        <v>418</v>
      </c>
      <c r="H154" s="97">
        <v>186</v>
      </c>
      <c r="I154" s="98"/>
      <c r="J154" s="10">
        <f t="shared" si="6"/>
        <v>2.544</v>
      </c>
      <c r="K154" s="11">
        <v>6</v>
      </c>
      <c r="L154" s="12">
        <f t="shared" si="7"/>
        <v>0.42399999999999999</v>
      </c>
      <c r="M154" s="13">
        <f t="shared" si="8"/>
        <v>424</v>
      </c>
      <c r="N154" s="15"/>
    </row>
    <row r="155" spans="1:16" s="5" customFormat="1" ht="12">
      <c r="A155" s="40" t="s">
        <v>109</v>
      </c>
      <c r="B155" s="40" t="s">
        <v>110</v>
      </c>
      <c r="C155" s="97">
        <v>410</v>
      </c>
      <c r="D155" s="97">
        <v>399</v>
      </c>
      <c r="E155" s="97">
        <v>325</v>
      </c>
      <c r="F155" s="97">
        <v>152</v>
      </c>
      <c r="G155" s="97">
        <v>398</v>
      </c>
      <c r="H155" s="97">
        <v>255</v>
      </c>
      <c r="I155" s="98"/>
      <c r="J155" s="10">
        <f t="shared" si="6"/>
        <v>2.46</v>
      </c>
      <c r="K155" s="11">
        <v>6</v>
      </c>
      <c r="L155" s="12">
        <f t="shared" si="7"/>
        <v>0.41</v>
      </c>
      <c r="M155" s="13">
        <f t="shared" si="8"/>
        <v>410</v>
      </c>
      <c r="N155" s="15"/>
    </row>
    <row r="156" spans="1:16" s="5" customFormat="1" ht="12">
      <c r="A156" s="40" t="s">
        <v>109</v>
      </c>
      <c r="B156" s="40" t="s">
        <v>475</v>
      </c>
      <c r="C156" s="97">
        <v>440</v>
      </c>
      <c r="D156" s="97">
        <v>418</v>
      </c>
      <c r="E156" s="97">
        <v>322</v>
      </c>
      <c r="F156" s="97">
        <v>134</v>
      </c>
      <c r="G156" s="97">
        <v>432</v>
      </c>
      <c r="H156" s="97">
        <v>264</v>
      </c>
      <c r="I156" s="98"/>
      <c r="J156" s="10">
        <f t="shared" si="6"/>
        <v>2.64</v>
      </c>
      <c r="K156" s="11">
        <v>6</v>
      </c>
      <c r="L156" s="12">
        <f t="shared" si="7"/>
        <v>0.44</v>
      </c>
      <c r="M156" s="13">
        <f t="shared" si="8"/>
        <v>440</v>
      </c>
      <c r="N156" s="15"/>
    </row>
    <row r="157" spans="1:16" s="5" customFormat="1" ht="12">
      <c r="A157" s="40" t="s">
        <v>109</v>
      </c>
      <c r="B157" s="40" t="s">
        <v>514</v>
      </c>
      <c r="C157" s="97">
        <v>831</v>
      </c>
      <c r="D157" s="97">
        <v>812</v>
      </c>
      <c r="E157" s="97">
        <v>695</v>
      </c>
      <c r="F157" s="97">
        <v>276</v>
      </c>
      <c r="G157" s="97">
        <v>808</v>
      </c>
      <c r="H157" s="97">
        <v>493</v>
      </c>
      <c r="I157" s="98"/>
      <c r="J157" s="10">
        <f t="shared" si="6"/>
        <v>4.9859999999999998</v>
      </c>
      <c r="K157" s="11">
        <v>6</v>
      </c>
      <c r="L157" s="12">
        <f t="shared" si="7"/>
        <v>0.83099999999999996</v>
      </c>
      <c r="M157" s="13">
        <f t="shared" si="8"/>
        <v>831</v>
      </c>
      <c r="N157" s="15"/>
    </row>
    <row r="158" spans="1:16" s="5" customFormat="1" ht="12">
      <c r="A158" s="40" t="s">
        <v>109</v>
      </c>
      <c r="B158" s="40" t="s">
        <v>955</v>
      </c>
      <c r="C158" s="97">
        <v>392</v>
      </c>
      <c r="D158" s="97">
        <v>370</v>
      </c>
      <c r="E158" s="97">
        <v>259</v>
      </c>
      <c r="F158" s="97">
        <v>99</v>
      </c>
      <c r="G158" s="97">
        <v>382</v>
      </c>
      <c r="H158" s="97">
        <v>223</v>
      </c>
      <c r="I158" s="98"/>
      <c r="J158" s="10">
        <f t="shared" si="6"/>
        <v>2.3520000000000003</v>
      </c>
      <c r="K158" s="11">
        <v>6</v>
      </c>
      <c r="L158" s="12">
        <f t="shared" si="7"/>
        <v>0.39200000000000002</v>
      </c>
      <c r="M158" s="13">
        <f t="shared" si="8"/>
        <v>392</v>
      </c>
      <c r="N158" s="15"/>
    </row>
    <row r="159" spans="1:16" s="5" customFormat="1" ht="12">
      <c r="A159" s="40" t="s">
        <v>109</v>
      </c>
      <c r="B159" s="40" t="s">
        <v>1011</v>
      </c>
      <c r="C159" s="97">
        <v>407</v>
      </c>
      <c r="D159" s="97">
        <v>394</v>
      </c>
      <c r="E159" s="97">
        <v>300</v>
      </c>
      <c r="F159" s="97">
        <v>114</v>
      </c>
      <c r="G159" s="97">
        <v>388</v>
      </c>
      <c r="H159" s="97">
        <v>204</v>
      </c>
      <c r="I159" s="98"/>
      <c r="J159" s="10">
        <f t="shared" si="6"/>
        <v>2.4419999999999997</v>
      </c>
      <c r="K159" s="11">
        <v>6</v>
      </c>
      <c r="L159" s="12">
        <f t="shared" si="7"/>
        <v>0.40699999999999997</v>
      </c>
      <c r="M159" s="13">
        <f t="shared" si="8"/>
        <v>407</v>
      </c>
      <c r="N159" s="15"/>
    </row>
    <row r="160" spans="1:16" s="5" customFormat="1" ht="12">
      <c r="A160" s="40" t="s">
        <v>109</v>
      </c>
      <c r="B160" s="40" t="s">
        <v>1618</v>
      </c>
      <c r="C160" s="97">
        <v>718</v>
      </c>
      <c r="D160" s="97">
        <v>702</v>
      </c>
      <c r="E160" s="97">
        <v>560</v>
      </c>
      <c r="F160" s="97">
        <v>166</v>
      </c>
      <c r="G160" s="97">
        <v>703</v>
      </c>
      <c r="H160" s="97">
        <v>371</v>
      </c>
      <c r="I160" s="98"/>
      <c r="J160" s="10">
        <f t="shared" si="6"/>
        <v>4.3079999999999998</v>
      </c>
      <c r="K160" s="11">
        <v>6</v>
      </c>
      <c r="L160" s="12">
        <f t="shared" si="7"/>
        <v>0.71799999999999997</v>
      </c>
      <c r="M160" s="13">
        <f t="shared" si="8"/>
        <v>718</v>
      </c>
      <c r="N160" s="15"/>
    </row>
    <row r="161" spans="1:16" s="5" customFormat="1" ht="12">
      <c r="A161" s="40" t="s">
        <v>109</v>
      </c>
      <c r="B161" s="40" t="s">
        <v>1724</v>
      </c>
      <c r="C161" s="97">
        <v>331</v>
      </c>
      <c r="D161" s="97">
        <v>317</v>
      </c>
      <c r="E161" s="97">
        <v>252</v>
      </c>
      <c r="F161" s="97">
        <v>90</v>
      </c>
      <c r="G161" s="97">
        <v>322</v>
      </c>
      <c r="H161" s="97">
        <v>176</v>
      </c>
      <c r="I161" s="98"/>
      <c r="J161" s="10">
        <f t="shared" si="6"/>
        <v>1.9860000000000002</v>
      </c>
      <c r="K161" s="11">
        <v>6</v>
      </c>
      <c r="L161" s="12">
        <f t="shared" si="7"/>
        <v>0.33100000000000002</v>
      </c>
      <c r="M161" s="13">
        <f t="shared" si="8"/>
        <v>331</v>
      </c>
      <c r="N161" s="15"/>
    </row>
    <row r="162" spans="1:16" s="2" customFormat="1" ht="12">
      <c r="A162" s="40" t="s">
        <v>71</v>
      </c>
      <c r="B162" s="40" t="s">
        <v>125</v>
      </c>
      <c r="C162" s="97">
        <v>878</v>
      </c>
      <c r="D162" s="97">
        <v>860</v>
      </c>
      <c r="E162" s="97">
        <v>678</v>
      </c>
      <c r="F162" s="97">
        <v>252</v>
      </c>
      <c r="G162" s="97">
        <v>856</v>
      </c>
      <c r="H162" s="97">
        <v>559</v>
      </c>
      <c r="I162" s="98"/>
      <c r="J162" s="10">
        <f t="shared" si="6"/>
        <v>5.2679999999999998</v>
      </c>
      <c r="K162" s="11">
        <v>6</v>
      </c>
      <c r="L162" s="12">
        <f t="shared" si="7"/>
        <v>0.878</v>
      </c>
      <c r="M162" s="13">
        <f t="shared" si="8"/>
        <v>878</v>
      </c>
      <c r="N162" s="15"/>
      <c r="O162" s="5"/>
      <c r="P162" s="5"/>
    </row>
    <row r="163" spans="1:16" s="2" customFormat="1" ht="12">
      <c r="A163" s="40" t="s">
        <v>71</v>
      </c>
      <c r="B163" s="40" t="s">
        <v>132</v>
      </c>
      <c r="C163" s="97">
        <v>387</v>
      </c>
      <c r="D163" s="97">
        <v>372</v>
      </c>
      <c r="E163" s="97">
        <v>290</v>
      </c>
      <c r="F163" s="97">
        <v>89</v>
      </c>
      <c r="G163" s="97">
        <v>383</v>
      </c>
      <c r="H163" s="97">
        <v>218</v>
      </c>
      <c r="I163" s="98"/>
      <c r="J163" s="10">
        <f t="shared" si="6"/>
        <v>2.3220000000000001</v>
      </c>
      <c r="K163" s="11">
        <v>6</v>
      </c>
      <c r="L163" s="12">
        <f t="shared" si="7"/>
        <v>0.38700000000000001</v>
      </c>
      <c r="M163" s="13">
        <f t="shared" si="8"/>
        <v>387</v>
      </c>
      <c r="N163" s="15"/>
      <c r="O163" s="5"/>
      <c r="P163" s="5"/>
    </row>
    <row r="164" spans="1:16" s="5" customFormat="1" ht="12">
      <c r="A164" s="40" t="s">
        <v>71</v>
      </c>
      <c r="B164" s="40" t="s">
        <v>274</v>
      </c>
      <c r="C164" s="97">
        <v>497</v>
      </c>
      <c r="D164" s="97">
        <v>484</v>
      </c>
      <c r="E164" s="97">
        <v>411</v>
      </c>
      <c r="F164" s="97">
        <v>123</v>
      </c>
      <c r="G164" s="97">
        <v>488</v>
      </c>
      <c r="H164" s="97">
        <v>289</v>
      </c>
      <c r="I164" s="98"/>
      <c r="J164" s="10">
        <f t="shared" si="6"/>
        <v>2.9820000000000002</v>
      </c>
      <c r="K164" s="11">
        <v>6</v>
      </c>
      <c r="L164" s="12">
        <f t="shared" si="7"/>
        <v>0.497</v>
      </c>
      <c r="M164" s="13">
        <f t="shared" si="8"/>
        <v>497</v>
      </c>
      <c r="N164" s="15"/>
    </row>
    <row r="165" spans="1:16" s="5" customFormat="1" ht="12">
      <c r="A165" s="40" t="s">
        <v>71</v>
      </c>
      <c r="B165" s="40" t="s">
        <v>316</v>
      </c>
      <c r="C165" s="97">
        <v>565</v>
      </c>
      <c r="D165" s="97">
        <v>561</v>
      </c>
      <c r="E165" s="97">
        <v>425</v>
      </c>
      <c r="F165" s="97">
        <v>138</v>
      </c>
      <c r="G165" s="97">
        <v>565</v>
      </c>
      <c r="H165" s="97">
        <v>321</v>
      </c>
      <c r="I165" s="98"/>
      <c r="J165" s="10">
        <f t="shared" si="6"/>
        <v>3.3899999999999997</v>
      </c>
      <c r="K165" s="11">
        <v>6</v>
      </c>
      <c r="L165" s="12">
        <f t="shared" si="7"/>
        <v>0.56499999999999995</v>
      </c>
      <c r="M165" s="13">
        <f t="shared" si="8"/>
        <v>565</v>
      </c>
      <c r="N165" s="15"/>
    </row>
    <row r="166" spans="1:16" s="5" customFormat="1" ht="12">
      <c r="A166" s="40" t="s">
        <v>71</v>
      </c>
      <c r="B166" s="40" t="s">
        <v>360</v>
      </c>
      <c r="C166" s="97">
        <v>641</v>
      </c>
      <c r="D166" s="97">
        <v>625</v>
      </c>
      <c r="E166" s="97">
        <v>523</v>
      </c>
      <c r="F166" s="97">
        <v>156</v>
      </c>
      <c r="G166" s="97">
        <v>634</v>
      </c>
      <c r="H166" s="97">
        <v>381</v>
      </c>
      <c r="I166" s="98"/>
      <c r="J166" s="10">
        <f t="shared" si="6"/>
        <v>3.8460000000000001</v>
      </c>
      <c r="K166" s="11">
        <v>6</v>
      </c>
      <c r="L166" s="12">
        <f t="shared" si="7"/>
        <v>0.64100000000000001</v>
      </c>
      <c r="M166" s="13">
        <f t="shared" si="8"/>
        <v>641</v>
      </c>
      <c r="N166" s="15"/>
    </row>
    <row r="167" spans="1:16" s="5" customFormat="1" ht="12">
      <c r="A167" s="40" t="s">
        <v>71</v>
      </c>
      <c r="B167" s="40" t="s">
        <v>385</v>
      </c>
      <c r="C167" s="97">
        <v>1049</v>
      </c>
      <c r="D167" s="97">
        <v>1040</v>
      </c>
      <c r="E167" s="97">
        <v>798</v>
      </c>
      <c r="F167" s="97">
        <v>250</v>
      </c>
      <c r="G167" s="97">
        <v>1037</v>
      </c>
      <c r="H167" s="97">
        <v>553</v>
      </c>
      <c r="I167" s="98"/>
      <c r="J167" s="10">
        <f t="shared" si="6"/>
        <v>6.2939999999999996</v>
      </c>
      <c r="K167" s="11">
        <v>6</v>
      </c>
      <c r="L167" s="12">
        <f t="shared" si="7"/>
        <v>1.0489999999999999</v>
      </c>
      <c r="M167" s="13">
        <f t="shared" si="8"/>
        <v>1049</v>
      </c>
      <c r="N167" s="15"/>
    </row>
    <row r="168" spans="1:16" s="5" customFormat="1" ht="12">
      <c r="A168" s="40" t="s">
        <v>71</v>
      </c>
      <c r="B168" s="40" t="s">
        <v>402</v>
      </c>
      <c r="C168" s="97">
        <v>550</v>
      </c>
      <c r="D168" s="97">
        <v>529</v>
      </c>
      <c r="E168" s="97">
        <v>432</v>
      </c>
      <c r="F168" s="97">
        <v>149</v>
      </c>
      <c r="G168" s="97">
        <v>535</v>
      </c>
      <c r="H168" s="97">
        <v>361</v>
      </c>
      <c r="I168" s="98"/>
      <c r="J168" s="10">
        <f t="shared" si="6"/>
        <v>3.3000000000000003</v>
      </c>
      <c r="K168" s="11">
        <v>6</v>
      </c>
      <c r="L168" s="12">
        <f t="shared" si="7"/>
        <v>0.55000000000000004</v>
      </c>
      <c r="M168" s="13">
        <f t="shared" si="8"/>
        <v>550</v>
      </c>
      <c r="N168" s="15"/>
    </row>
    <row r="169" spans="1:16" s="5" customFormat="1" ht="12">
      <c r="A169" s="40" t="s">
        <v>71</v>
      </c>
      <c r="B169" s="40" t="s">
        <v>457</v>
      </c>
      <c r="C169" s="97">
        <v>973</v>
      </c>
      <c r="D169" s="97">
        <v>969</v>
      </c>
      <c r="E169" s="97">
        <v>778</v>
      </c>
      <c r="F169" s="97">
        <v>261</v>
      </c>
      <c r="G169" s="97">
        <v>959</v>
      </c>
      <c r="H169" s="97">
        <v>579</v>
      </c>
      <c r="I169" s="98"/>
      <c r="J169" s="10">
        <f t="shared" si="6"/>
        <v>5.8380000000000001</v>
      </c>
      <c r="K169" s="11">
        <v>6</v>
      </c>
      <c r="L169" s="12">
        <f t="shared" si="7"/>
        <v>0.97299999999999998</v>
      </c>
      <c r="M169" s="13">
        <f t="shared" si="8"/>
        <v>973</v>
      </c>
      <c r="N169" s="15"/>
    </row>
    <row r="170" spans="1:16" s="5" customFormat="1" ht="12">
      <c r="A170" s="40" t="s">
        <v>71</v>
      </c>
      <c r="B170" s="40" t="s">
        <v>515</v>
      </c>
      <c r="C170" s="97">
        <v>586</v>
      </c>
      <c r="D170" s="97">
        <v>575</v>
      </c>
      <c r="E170" s="97">
        <v>478</v>
      </c>
      <c r="F170" s="97">
        <v>142</v>
      </c>
      <c r="G170" s="97">
        <v>571</v>
      </c>
      <c r="H170" s="97">
        <v>349</v>
      </c>
      <c r="I170" s="98"/>
      <c r="J170" s="10">
        <f t="shared" si="6"/>
        <v>3.516</v>
      </c>
      <c r="K170" s="11">
        <v>6</v>
      </c>
      <c r="L170" s="12">
        <f t="shared" si="7"/>
        <v>0.58599999999999997</v>
      </c>
      <c r="M170" s="13">
        <f t="shared" si="8"/>
        <v>586</v>
      </c>
      <c r="N170" s="15"/>
    </row>
    <row r="171" spans="1:16" s="5" customFormat="1" ht="12">
      <c r="A171" s="40" t="s">
        <v>71</v>
      </c>
      <c r="B171" s="40" t="s">
        <v>516</v>
      </c>
      <c r="C171" s="97">
        <v>381</v>
      </c>
      <c r="D171" s="97">
        <v>378</v>
      </c>
      <c r="E171" s="97">
        <v>324</v>
      </c>
      <c r="F171" s="97">
        <v>119</v>
      </c>
      <c r="G171" s="97">
        <v>374</v>
      </c>
      <c r="H171" s="97">
        <v>238</v>
      </c>
      <c r="I171" s="98"/>
      <c r="J171" s="10">
        <f t="shared" si="6"/>
        <v>2.286</v>
      </c>
      <c r="K171" s="11">
        <v>6</v>
      </c>
      <c r="L171" s="12">
        <f t="shared" si="7"/>
        <v>0.38100000000000001</v>
      </c>
      <c r="M171" s="13">
        <f t="shared" si="8"/>
        <v>381</v>
      </c>
      <c r="N171" s="15"/>
    </row>
    <row r="172" spans="1:16" s="5" customFormat="1" ht="12">
      <c r="A172" s="40" t="s">
        <v>71</v>
      </c>
      <c r="B172" s="40" t="s">
        <v>586</v>
      </c>
      <c r="C172" s="97">
        <v>939</v>
      </c>
      <c r="D172" s="97">
        <v>923</v>
      </c>
      <c r="E172" s="97">
        <v>728</v>
      </c>
      <c r="F172" s="97">
        <v>209</v>
      </c>
      <c r="G172" s="97">
        <v>925</v>
      </c>
      <c r="H172" s="97">
        <v>521</v>
      </c>
      <c r="I172" s="98"/>
      <c r="J172" s="10">
        <f t="shared" si="6"/>
        <v>5.6339999999999995</v>
      </c>
      <c r="K172" s="11">
        <v>6</v>
      </c>
      <c r="L172" s="12">
        <f t="shared" si="7"/>
        <v>0.93899999999999995</v>
      </c>
      <c r="M172" s="13">
        <f t="shared" si="8"/>
        <v>939</v>
      </c>
      <c r="N172" s="15"/>
    </row>
    <row r="173" spans="1:16" s="5" customFormat="1" ht="12">
      <c r="A173" s="40" t="s">
        <v>71</v>
      </c>
      <c r="B173" s="40" t="s">
        <v>1953</v>
      </c>
      <c r="C173" s="97">
        <v>655</v>
      </c>
      <c r="D173" s="97">
        <v>645</v>
      </c>
      <c r="E173" s="97">
        <v>501</v>
      </c>
      <c r="F173" s="97">
        <v>142</v>
      </c>
      <c r="G173" s="97">
        <v>644</v>
      </c>
      <c r="H173" s="97">
        <v>342</v>
      </c>
      <c r="I173" s="98"/>
      <c r="J173" s="10">
        <f t="shared" si="6"/>
        <v>3.93</v>
      </c>
      <c r="K173" s="11">
        <v>6</v>
      </c>
      <c r="L173" s="12">
        <f t="shared" si="7"/>
        <v>0.65500000000000003</v>
      </c>
      <c r="M173" s="13">
        <f t="shared" si="8"/>
        <v>655</v>
      </c>
      <c r="N173" s="15"/>
    </row>
    <row r="174" spans="1:16" s="5" customFormat="1" ht="12">
      <c r="A174" s="40" t="s">
        <v>71</v>
      </c>
      <c r="B174" s="40" t="s">
        <v>1986</v>
      </c>
      <c r="C174" s="97">
        <v>306</v>
      </c>
      <c r="D174" s="97">
        <v>293</v>
      </c>
      <c r="E174" s="97">
        <v>231</v>
      </c>
      <c r="F174" s="97">
        <v>110</v>
      </c>
      <c r="G174" s="97">
        <v>306</v>
      </c>
      <c r="H174" s="97">
        <v>216</v>
      </c>
      <c r="I174" s="98"/>
      <c r="J174" s="10">
        <f t="shared" si="6"/>
        <v>1.8359999999999999</v>
      </c>
      <c r="K174" s="11">
        <v>6</v>
      </c>
      <c r="L174" s="12">
        <f t="shared" si="7"/>
        <v>0.30599999999999999</v>
      </c>
      <c r="M174" s="13">
        <f t="shared" si="8"/>
        <v>306</v>
      </c>
      <c r="N174" s="15"/>
    </row>
    <row r="175" spans="1:16" s="5" customFormat="1" ht="12">
      <c r="A175" s="40" t="s">
        <v>71</v>
      </c>
      <c r="B175" s="40" t="s">
        <v>587</v>
      </c>
      <c r="C175" s="97">
        <v>897</v>
      </c>
      <c r="D175" s="97">
        <v>889</v>
      </c>
      <c r="E175" s="97">
        <v>678</v>
      </c>
      <c r="F175" s="97">
        <v>223</v>
      </c>
      <c r="G175" s="97">
        <v>891</v>
      </c>
      <c r="H175" s="97">
        <v>505</v>
      </c>
      <c r="I175" s="98"/>
      <c r="J175" s="10">
        <f t="shared" si="6"/>
        <v>5.3819999999999997</v>
      </c>
      <c r="K175" s="11">
        <v>6</v>
      </c>
      <c r="L175" s="12">
        <f t="shared" si="7"/>
        <v>0.89700000000000002</v>
      </c>
      <c r="M175" s="13">
        <f t="shared" si="8"/>
        <v>897</v>
      </c>
      <c r="N175" s="15"/>
    </row>
    <row r="176" spans="1:16" s="5" customFormat="1" ht="12">
      <c r="A176" s="40" t="s">
        <v>71</v>
      </c>
      <c r="B176" s="40" t="s">
        <v>588</v>
      </c>
      <c r="C176" s="97">
        <v>528</v>
      </c>
      <c r="D176" s="97">
        <v>525</v>
      </c>
      <c r="E176" s="97">
        <v>436</v>
      </c>
      <c r="F176" s="97">
        <v>142</v>
      </c>
      <c r="G176" s="97">
        <v>516</v>
      </c>
      <c r="H176" s="97">
        <v>322</v>
      </c>
      <c r="I176" s="98"/>
      <c r="J176" s="10">
        <f t="shared" si="6"/>
        <v>3.1680000000000001</v>
      </c>
      <c r="K176" s="11">
        <v>6</v>
      </c>
      <c r="L176" s="12">
        <f t="shared" si="7"/>
        <v>0.52800000000000002</v>
      </c>
      <c r="M176" s="13">
        <f t="shared" si="8"/>
        <v>528</v>
      </c>
      <c r="N176" s="15"/>
    </row>
    <row r="177" spans="1:14" s="5" customFormat="1" ht="12">
      <c r="A177" s="40" t="s">
        <v>71</v>
      </c>
      <c r="B177" s="40" t="s">
        <v>589</v>
      </c>
      <c r="C177" s="97">
        <v>520</v>
      </c>
      <c r="D177" s="97">
        <v>507</v>
      </c>
      <c r="E177" s="97">
        <v>387</v>
      </c>
      <c r="F177" s="97">
        <v>133</v>
      </c>
      <c r="G177" s="97">
        <v>510</v>
      </c>
      <c r="H177" s="97">
        <v>310</v>
      </c>
      <c r="I177" s="98"/>
      <c r="J177" s="10">
        <f t="shared" si="6"/>
        <v>3.12</v>
      </c>
      <c r="K177" s="11">
        <v>6</v>
      </c>
      <c r="L177" s="12">
        <f t="shared" si="7"/>
        <v>0.52</v>
      </c>
      <c r="M177" s="13">
        <f t="shared" si="8"/>
        <v>520</v>
      </c>
      <c r="N177" s="15"/>
    </row>
    <row r="178" spans="1:14" s="5" customFormat="1" ht="12">
      <c r="A178" s="40" t="s">
        <v>71</v>
      </c>
      <c r="B178" s="40" t="s">
        <v>592</v>
      </c>
      <c r="C178" s="97">
        <v>466</v>
      </c>
      <c r="D178" s="97">
        <v>458</v>
      </c>
      <c r="E178" s="97">
        <v>375</v>
      </c>
      <c r="F178" s="97">
        <v>117</v>
      </c>
      <c r="G178" s="97">
        <v>463</v>
      </c>
      <c r="H178" s="97">
        <v>285</v>
      </c>
      <c r="I178" s="98"/>
      <c r="J178" s="10">
        <f t="shared" si="6"/>
        <v>2.7960000000000003</v>
      </c>
      <c r="K178" s="11">
        <v>6</v>
      </c>
      <c r="L178" s="12">
        <f t="shared" si="7"/>
        <v>0.46600000000000003</v>
      </c>
      <c r="M178" s="13">
        <f t="shared" si="8"/>
        <v>466</v>
      </c>
      <c r="N178" s="15"/>
    </row>
    <row r="179" spans="1:14" s="5" customFormat="1" ht="12">
      <c r="A179" s="40" t="s">
        <v>71</v>
      </c>
      <c r="B179" s="40" t="s">
        <v>593</v>
      </c>
      <c r="C179" s="97">
        <v>333</v>
      </c>
      <c r="D179" s="97">
        <v>314</v>
      </c>
      <c r="E179" s="97">
        <v>207</v>
      </c>
      <c r="F179" s="97">
        <v>71</v>
      </c>
      <c r="G179" s="97">
        <v>327</v>
      </c>
      <c r="H179" s="97">
        <v>173</v>
      </c>
      <c r="I179" s="98"/>
      <c r="J179" s="10">
        <f t="shared" si="6"/>
        <v>1.9980000000000002</v>
      </c>
      <c r="K179" s="11">
        <v>6</v>
      </c>
      <c r="L179" s="12">
        <f t="shared" si="7"/>
        <v>0.33300000000000002</v>
      </c>
      <c r="M179" s="13">
        <f t="shared" si="8"/>
        <v>333</v>
      </c>
      <c r="N179" s="15"/>
    </row>
    <row r="180" spans="1:14" s="5" customFormat="1" ht="12">
      <c r="A180" s="40" t="s">
        <v>71</v>
      </c>
      <c r="B180" s="40" t="s">
        <v>594</v>
      </c>
      <c r="C180" s="97">
        <v>403</v>
      </c>
      <c r="D180" s="97">
        <v>396</v>
      </c>
      <c r="E180" s="97">
        <v>326</v>
      </c>
      <c r="F180" s="97">
        <v>95</v>
      </c>
      <c r="G180" s="97">
        <v>391</v>
      </c>
      <c r="H180" s="97">
        <v>215</v>
      </c>
      <c r="I180" s="98"/>
      <c r="J180" s="10">
        <f t="shared" si="6"/>
        <v>2.4180000000000001</v>
      </c>
      <c r="K180" s="11">
        <v>6</v>
      </c>
      <c r="L180" s="12">
        <f t="shared" si="7"/>
        <v>0.40300000000000002</v>
      </c>
      <c r="M180" s="13">
        <f t="shared" si="8"/>
        <v>403</v>
      </c>
      <c r="N180" s="15"/>
    </row>
    <row r="181" spans="1:14" s="5" customFormat="1" ht="12">
      <c r="A181" s="40" t="s">
        <v>71</v>
      </c>
      <c r="B181" s="40" t="s">
        <v>624</v>
      </c>
      <c r="C181" s="97">
        <v>309</v>
      </c>
      <c r="D181" s="97">
        <v>305</v>
      </c>
      <c r="E181" s="97">
        <v>259</v>
      </c>
      <c r="F181" s="97">
        <v>101</v>
      </c>
      <c r="G181" s="97">
        <v>309</v>
      </c>
      <c r="H181" s="97">
        <v>201</v>
      </c>
      <c r="I181" s="98"/>
      <c r="J181" s="10">
        <f t="shared" si="6"/>
        <v>1.8540000000000001</v>
      </c>
      <c r="K181" s="11">
        <v>6</v>
      </c>
      <c r="L181" s="12">
        <f t="shared" si="7"/>
        <v>0.309</v>
      </c>
      <c r="M181" s="13">
        <f t="shared" si="8"/>
        <v>309</v>
      </c>
      <c r="N181" s="15"/>
    </row>
    <row r="182" spans="1:14" s="5" customFormat="1" ht="12">
      <c r="A182" s="40" t="s">
        <v>71</v>
      </c>
      <c r="B182" s="40" t="s">
        <v>639</v>
      </c>
      <c r="C182" s="97">
        <v>784</v>
      </c>
      <c r="D182" s="97">
        <v>751</v>
      </c>
      <c r="E182" s="97">
        <v>662</v>
      </c>
      <c r="F182" s="97">
        <v>181</v>
      </c>
      <c r="G182" s="97">
        <v>778</v>
      </c>
      <c r="H182" s="97">
        <v>444</v>
      </c>
      <c r="I182" s="98"/>
      <c r="J182" s="10">
        <f t="shared" si="6"/>
        <v>4.7040000000000006</v>
      </c>
      <c r="K182" s="11">
        <v>6</v>
      </c>
      <c r="L182" s="12">
        <f t="shared" si="7"/>
        <v>0.78400000000000003</v>
      </c>
      <c r="M182" s="13">
        <f t="shared" si="8"/>
        <v>784</v>
      </c>
      <c r="N182" s="15"/>
    </row>
    <row r="183" spans="1:14" s="5" customFormat="1" ht="12">
      <c r="A183" s="40" t="s">
        <v>71</v>
      </c>
      <c r="B183" s="40" t="s">
        <v>1984</v>
      </c>
      <c r="C183" s="97">
        <v>434</v>
      </c>
      <c r="D183" s="97">
        <v>424</v>
      </c>
      <c r="E183" s="97">
        <v>354</v>
      </c>
      <c r="F183" s="97">
        <v>130</v>
      </c>
      <c r="G183" s="97">
        <v>429</v>
      </c>
      <c r="H183" s="97">
        <v>290</v>
      </c>
      <c r="I183" s="98"/>
      <c r="J183" s="10">
        <f t="shared" si="6"/>
        <v>2.6040000000000001</v>
      </c>
      <c r="K183" s="11">
        <v>6</v>
      </c>
      <c r="L183" s="12">
        <f t="shared" si="7"/>
        <v>0.434</v>
      </c>
      <c r="M183" s="13">
        <f t="shared" si="8"/>
        <v>434</v>
      </c>
      <c r="N183" s="15"/>
    </row>
    <row r="184" spans="1:14" s="5" customFormat="1" ht="12">
      <c r="A184" s="40" t="s">
        <v>71</v>
      </c>
      <c r="B184" s="40" t="s">
        <v>644</v>
      </c>
      <c r="C184" s="97">
        <v>1042</v>
      </c>
      <c r="D184" s="97">
        <v>1044</v>
      </c>
      <c r="E184" s="97">
        <v>830</v>
      </c>
      <c r="F184" s="97">
        <v>273</v>
      </c>
      <c r="G184" s="97">
        <v>1037</v>
      </c>
      <c r="H184" s="97">
        <v>655</v>
      </c>
      <c r="I184" s="98"/>
      <c r="J184" s="10">
        <f t="shared" si="6"/>
        <v>6.2520000000000007</v>
      </c>
      <c r="K184" s="11">
        <v>6</v>
      </c>
      <c r="L184" s="12">
        <f t="shared" si="7"/>
        <v>1.042</v>
      </c>
      <c r="M184" s="13">
        <f t="shared" si="8"/>
        <v>1042</v>
      </c>
      <c r="N184" s="15"/>
    </row>
    <row r="185" spans="1:14" s="5" customFormat="1" ht="12">
      <c r="A185" s="40" t="s">
        <v>71</v>
      </c>
      <c r="B185" s="40" t="s">
        <v>1985</v>
      </c>
      <c r="C185" s="97">
        <v>973</v>
      </c>
      <c r="D185" s="97">
        <v>950</v>
      </c>
      <c r="E185" s="97">
        <v>754</v>
      </c>
      <c r="F185" s="97">
        <v>241</v>
      </c>
      <c r="G185" s="97">
        <v>961</v>
      </c>
      <c r="H185" s="97">
        <v>565</v>
      </c>
      <c r="I185" s="98"/>
      <c r="J185" s="10">
        <f t="shared" si="6"/>
        <v>5.8380000000000001</v>
      </c>
      <c r="K185" s="11">
        <v>6</v>
      </c>
      <c r="L185" s="12">
        <f t="shared" si="7"/>
        <v>0.97299999999999998</v>
      </c>
      <c r="M185" s="13">
        <f t="shared" si="8"/>
        <v>973</v>
      </c>
      <c r="N185" s="15"/>
    </row>
    <row r="186" spans="1:14" s="5" customFormat="1" ht="12">
      <c r="A186" s="40" t="s">
        <v>71</v>
      </c>
      <c r="B186" s="40" t="s">
        <v>670</v>
      </c>
      <c r="C186" s="97">
        <v>727</v>
      </c>
      <c r="D186" s="97">
        <v>707</v>
      </c>
      <c r="E186" s="97">
        <v>584</v>
      </c>
      <c r="F186" s="97">
        <v>187</v>
      </c>
      <c r="G186" s="97">
        <v>703</v>
      </c>
      <c r="H186" s="97">
        <v>427</v>
      </c>
      <c r="I186" s="98"/>
      <c r="J186" s="10">
        <f t="shared" si="6"/>
        <v>4.3620000000000001</v>
      </c>
      <c r="K186" s="11">
        <v>6</v>
      </c>
      <c r="L186" s="12">
        <f t="shared" si="7"/>
        <v>0.72699999999999998</v>
      </c>
      <c r="M186" s="13">
        <f t="shared" si="8"/>
        <v>727</v>
      </c>
      <c r="N186" s="15"/>
    </row>
    <row r="187" spans="1:14" s="5" customFormat="1" ht="12">
      <c r="A187" s="40" t="s">
        <v>71</v>
      </c>
      <c r="B187" s="40" t="s">
        <v>671</v>
      </c>
      <c r="C187" s="97">
        <v>331</v>
      </c>
      <c r="D187" s="97">
        <v>319</v>
      </c>
      <c r="E187" s="97">
        <v>242</v>
      </c>
      <c r="F187" s="97">
        <v>80</v>
      </c>
      <c r="G187" s="97">
        <v>329</v>
      </c>
      <c r="H187" s="97">
        <v>186</v>
      </c>
      <c r="I187" s="98"/>
      <c r="J187" s="10">
        <f t="shared" si="6"/>
        <v>1.9860000000000002</v>
      </c>
      <c r="K187" s="11">
        <v>6</v>
      </c>
      <c r="L187" s="12">
        <f t="shared" si="7"/>
        <v>0.33100000000000002</v>
      </c>
      <c r="M187" s="13">
        <f t="shared" si="8"/>
        <v>331</v>
      </c>
      <c r="N187" s="15"/>
    </row>
    <row r="188" spans="1:14" s="5" customFormat="1" ht="12">
      <c r="A188" s="40" t="s">
        <v>71</v>
      </c>
      <c r="B188" s="40" t="s">
        <v>776</v>
      </c>
      <c r="C188" s="97">
        <v>385</v>
      </c>
      <c r="D188" s="97">
        <v>378</v>
      </c>
      <c r="E188" s="97">
        <v>297</v>
      </c>
      <c r="F188" s="97">
        <v>117</v>
      </c>
      <c r="G188" s="97">
        <v>378</v>
      </c>
      <c r="H188" s="97">
        <v>228</v>
      </c>
      <c r="I188" s="98"/>
      <c r="J188" s="10">
        <f t="shared" si="6"/>
        <v>2.31</v>
      </c>
      <c r="K188" s="11">
        <v>6</v>
      </c>
      <c r="L188" s="12">
        <f t="shared" si="7"/>
        <v>0.38500000000000001</v>
      </c>
      <c r="M188" s="13">
        <f t="shared" si="8"/>
        <v>385</v>
      </c>
      <c r="N188" s="15"/>
    </row>
    <row r="189" spans="1:14" s="5" customFormat="1" ht="12">
      <c r="A189" s="40" t="s">
        <v>71</v>
      </c>
      <c r="B189" s="40" t="s">
        <v>800</v>
      </c>
      <c r="C189" s="97">
        <v>417</v>
      </c>
      <c r="D189" s="97">
        <v>410</v>
      </c>
      <c r="E189" s="97">
        <v>328</v>
      </c>
      <c r="F189" s="97">
        <v>115</v>
      </c>
      <c r="G189" s="97">
        <v>414</v>
      </c>
      <c r="H189" s="97">
        <v>267</v>
      </c>
      <c r="I189" s="98"/>
      <c r="J189" s="10">
        <f t="shared" si="6"/>
        <v>2.5019999999999998</v>
      </c>
      <c r="K189" s="11">
        <v>6</v>
      </c>
      <c r="L189" s="12">
        <f t="shared" si="7"/>
        <v>0.41699999999999998</v>
      </c>
      <c r="M189" s="13">
        <f t="shared" si="8"/>
        <v>417</v>
      </c>
      <c r="N189" s="15"/>
    </row>
    <row r="190" spans="1:14" s="5" customFormat="1" ht="12">
      <c r="A190" s="40" t="s">
        <v>71</v>
      </c>
      <c r="B190" s="40" t="s">
        <v>803</v>
      </c>
      <c r="C190" s="97">
        <v>351</v>
      </c>
      <c r="D190" s="97">
        <v>345</v>
      </c>
      <c r="E190" s="97">
        <v>241</v>
      </c>
      <c r="F190" s="97">
        <v>96</v>
      </c>
      <c r="G190" s="97">
        <v>339</v>
      </c>
      <c r="H190" s="97">
        <v>203</v>
      </c>
      <c r="I190" s="98"/>
      <c r="J190" s="10">
        <f t="shared" si="6"/>
        <v>2.1059999999999999</v>
      </c>
      <c r="K190" s="11">
        <v>6</v>
      </c>
      <c r="L190" s="12">
        <f t="shared" si="7"/>
        <v>0.35099999999999998</v>
      </c>
      <c r="M190" s="13">
        <f t="shared" si="8"/>
        <v>351</v>
      </c>
      <c r="N190" s="15"/>
    </row>
    <row r="191" spans="1:14" s="5" customFormat="1" ht="12">
      <c r="A191" s="40" t="s">
        <v>71</v>
      </c>
      <c r="B191" s="40" t="s">
        <v>940</v>
      </c>
      <c r="C191" s="97">
        <v>823</v>
      </c>
      <c r="D191" s="97">
        <v>795</v>
      </c>
      <c r="E191" s="97">
        <v>667</v>
      </c>
      <c r="F191" s="97">
        <v>168</v>
      </c>
      <c r="G191" s="97">
        <v>805</v>
      </c>
      <c r="H191" s="97">
        <v>445</v>
      </c>
      <c r="I191" s="98"/>
      <c r="J191" s="10">
        <f t="shared" si="6"/>
        <v>4.9379999999999997</v>
      </c>
      <c r="K191" s="11">
        <v>6</v>
      </c>
      <c r="L191" s="12">
        <f t="shared" si="7"/>
        <v>0.82299999999999995</v>
      </c>
      <c r="M191" s="13">
        <f t="shared" si="8"/>
        <v>823</v>
      </c>
      <c r="N191" s="15"/>
    </row>
    <row r="192" spans="1:14" s="5" customFormat="1" ht="12">
      <c r="A192" s="40" t="s">
        <v>71</v>
      </c>
      <c r="B192" s="67" t="s">
        <v>1987</v>
      </c>
      <c r="C192" s="97">
        <v>355</v>
      </c>
      <c r="D192" s="97">
        <v>352</v>
      </c>
      <c r="E192" s="97">
        <v>309</v>
      </c>
      <c r="F192" s="97">
        <v>145</v>
      </c>
      <c r="G192" s="97">
        <v>355</v>
      </c>
      <c r="H192" s="97">
        <v>263</v>
      </c>
      <c r="I192" s="98"/>
      <c r="J192" s="10">
        <f t="shared" ref="J192:J255" si="9">+K192*L192</f>
        <v>2.13</v>
      </c>
      <c r="K192" s="11">
        <v>6</v>
      </c>
      <c r="L192" s="12">
        <f t="shared" ref="L192:L255" si="10">+M192/1000</f>
        <v>0.35499999999999998</v>
      </c>
      <c r="M192" s="13">
        <f t="shared" ref="M192:M255" si="11">+C192</f>
        <v>355</v>
      </c>
      <c r="N192" s="15"/>
    </row>
    <row r="193" spans="1:16" s="5" customFormat="1" ht="12">
      <c r="A193" s="65" t="s">
        <v>71</v>
      </c>
      <c r="B193" s="65" t="s">
        <v>1612</v>
      </c>
      <c r="C193" s="97">
        <v>950</v>
      </c>
      <c r="D193" s="97">
        <v>940</v>
      </c>
      <c r="E193" s="97">
        <v>730</v>
      </c>
      <c r="F193" s="97">
        <v>231</v>
      </c>
      <c r="G193" s="97">
        <v>936</v>
      </c>
      <c r="H193" s="97">
        <v>537</v>
      </c>
      <c r="I193" s="102"/>
      <c r="J193" s="10">
        <f t="shared" si="9"/>
        <v>5.6999999999999993</v>
      </c>
      <c r="K193" s="36">
        <v>6</v>
      </c>
      <c r="L193" s="37">
        <f t="shared" si="10"/>
        <v>0.95</v>
      </c>
      <c r="M193" s="38">
        <f t="shared" si="11"/>
        <v>950</v>
      </c>
      <c r="N193" s="35"/>
      <c r="O193" s="2"/>
      <c r="P193" s="2"/>
    </row>
    <row r="194" spans="1:16" s="5" customFormat="1" ht="12">
      <c r="A194" s="40" t="s">
        <v>150</v>
      </c>
      <c r="B194" s="40" t="s">
        <v>151</v>
      </c>
      <c r="C194" s="97">
        <v>1457</v>
      </c>
      <c r="D194" s="97">
        <v>1430</v>
      </c>
      <c r="E194" s="97">
        <v>1186</v>
      </c>
      <c r="F194" s="97">
        <v>388</v>
      </c>
      <c r="G194" s="97">
        <v>1401</v>
      </c>
      <c r="H194" s="97">
        <v>794</v>
      </c>
      <c r="I194" s="98"/>
      <c r="J194" s="10">
        <f t="shared" si="9"/>
        <v>8.7420000000000009</v>
      </c>
      <c r="K194" s="11">
        <v>6</v>
      </c>
      <c r="L194" s="12">
        <f t="shared" si="10"/>
        <v>1.4570000000000001</v>
      </c>
      <c r="M194" s="13">
        <f t="shared" si="11"/>
        <v>1457</v>
      </c>
      <c r="N194" s="25"/>
    </row>
    <row r="195" spans="1:16" s="5" customFormat="1" ht="12">
      <c r="A195" s="40" t="s">
        <v>150</v>
      </c>
      <c r="B195" s="40" t="s">
        <v>164</v>
      </c>
      <c r="C195" s="97">
        <v>601</v>
      </c>
      <c r="D195" s="97">
        <v>579</v>
      </c>
      <c r="E195" s="97">
        <v>423</v>
      </c>
      <c r="F195" s="97">
        <v>123</v>
      </c>
      <c r="G195" s="97">
        <v>593</v>
      </c>
      <c r="H195" s="97">
        <v>266</v>
      </c>
      <c r="I195" s="98"/>
      <c r="J195" s="10">
        <f t="shared" si="9"/>
        <v>3.6059999999999999</v>
      </c>
      <c r="K195" s="11">
        <v>6</v>
      </c>
      <c r="L195" s="12">
        <f t="shared" si="10"/>
        <v>0.60099999999999998</v>
      </c>
      <c r="M195" s="13">
        <f t="shared" si="11"/>
        <v>601</v>
      </c>
      <c r="N195" s="15"/>
    </row>
    <row r="196" spans="1:16" s="5" customFormat="1" ht="12">
      <c r="A196" s="40" t="s">
        <v>150</v>
      </c>
      <c r="B196" s="40" t="s">
        <v>182</v>
      </c>
      <c r="C196" s="97">
        <v>308</v>
      </c>
      <c r="D196" s="97">
        <v>293</v>
      </c>
      <c r="E196" s="97">
        <v>211</v>
      </c>
      <c r="F196" s="97">
        <v>84</v>
      </c>
      <c r="G196" s="97">
        <v>291</v>
      </c>
      <c r="H196" s="97">
        <v>174</v>
      </c>
      <c r="I196" s="98"/>
      <c r="J196" s="10">
        <f t="shared" si="9"/>
        <v>1.8479999999999999</v>
      </c>
      <c r="K196" s="11">
        <v>6</v>
      </c>
      <c r="L196" s="12">
        <f t="shared" si="10"/>
        <v>0.308</v>
      </c>
      <c r="M196" s="13">
        <f t="shared" si="11"/>
        <v>308</v>
      </c>
      <c r="N196" s="15"/>
    </row>
    <row r="197" spans="1:16" s="5" customFormat="1" ht="12">
      <c r="A197" s="40" t="s">
        <v>150</v>
      </c>
      <c r="B197" s="40" t="s">
        <v>336</v>
      </c>
      <c r="C197" s="97">
        <v>316</v>
      </c>
      <c r="D197" s="97">
        <v>300</v>
      </c>
      <c r="E197" s="97">
        <v>228</v>
      </c>
      <c r="F197" s="97">
        <v>91</v>
      </c>
      <c r="G197" s="97">
        <v>307</v>
      </c>
      <c r="H197" s="97">
        <v>170</v>
      </c>
      <c r="I197" s="98"/>
      <c r="J197" s="10">
        <f t="shared" si="9"/>
        <v>1.8959999999999999</v>
      </c>
      <c r="K197" s="11">
        <v>6</v>
      </c>
      <c r="L197" s="12">
        <f t="shared" si="10"/>
        <v>0.316</v>
      </c>
      <c r="M197" s="13">
        <f t="shared" si="11"/>
        <v>316</v>
      </c>
      <c r="N197" s="15"/>
    </row>
    <row r="198" spans="1:16" s="5" customFormat="1" ht="12">
      <c r="A198" s="40" t="s">
        <v>150</v>
      </c>
      <c r="B198" s="40" t="s">
        <v>352</v>
      </c>
      <c r="C198" s="97">
        <v>624</v>
      </c>
      <c r="D198" s="97">
        <v>607</v>
      </c>
      <c r="E198" s="97">
        <v>507</v>
      </c>
      <c r="F198" s="97">
        <v>110</v>
      </c>
      <c r="G198" s="97">
        <v>601</v>
      </c>
      <c r="H198" s="97">
        <v>288</v>
      </c>
      <c r="I198" s="98"/>
      <c r="J198" s="10">
        <f t="shared" si="9"/>
        <v>3.7439999999999998</v>
      </c>
      <c r="K198" s="11">
        <v>6</v>
      </c>
      <c r="L198" s="12">
        <f t="shared" si="10"/>
        <v>0.624</v>
      </c>
      <c r="M198" s="13">
        <f t="shared" si="11"/>
        <v>624</v>
      </c>
      <c r="N198" s="15"/>
    </row>
    <row r="199" spans="1:16" s="5" customFormat="1" ht="12">
      <c r="A199" s="40" t="s">
        <v>150</v>
      </c>
      <c r="B199" s="40" t="s">
        <v>403</v>
      </c>
      <c r="C199" s="97">
        <v>1243</v>
      </c>
      <c r="D199" s="97">
        <v>1227</v>
      </c>
      <c r="E199" s="97">
        <v>932</v>
      </c>
      <c r="F199" s="97">
        <v>311</v>
      </c>
      <c r="G199" s="97">
        <v>1201</v>
      </c>
      <c r="H199" s="97">
        <v>635</v>
      </c>
      <c r="I199" s="98"/>
      <c r="J199" s="10">
        <f t="shared" si="9"/>
        <v>7.4580000000000002</v>
      </c>
      <c r="K199" s="11">
        <v>6</v>
      </c>
      <c r="L199" s="12">
        <f t="shared" si="10"/>
        <v>1.2430000000000001</v>
      </c>
      <c r="M199" s="13">
        <f t="shared" si="11"/>
        <v>1243</v>
      </c>
      <c r="N199" s="15"/>
    </row>
    <row r="200" spans="1:16" s="5" customFormat="1" ht="12">
      <c r="A200" s="40" t="s">
        <v>150</v>
      </c>
      <c r="B200" s="40" t="s">
        <v>407</v>
      </c>
      <c r="C200" s="97">
        <v>1095</v>
      </c>
      <c r="D200" s="97">
        <v>1060</v>
      </c>
      <c r="E200" s="97">
        <v>845</v>
      </c>
      <c r="F200" s="97">
        <v>235</v>
      </c>
      <c r="G200" s="97">
        <v>1051</v>
      </c>
      <c r="H200" s="97">
        <v>541</v>
      </c>
      <c r="I200" s="98"/>
      <c r="J200" s="10">
        <f t="shared" si="9"/>
        <v>6.57</v>
      </c>
      <c r="K200" s="11">
        <v>6</v>
      </c>
      <c r="L200" s="12">
        <f t="shared" si="10"/>
        <v>1.095</v>
      </c>
      <c r="M200" s="13">
        <f t="shared" si="11"/>
        <v>1095</v>
      </c>
      <c r="N200" s="15"/>
    </row>
    <row r="201" spans="1:16" s="5" customFormat="1" ht="12">
      <c r="A201" s="40" t="s">
        <v>150</v>
      </c>
      <c r="B201" s="40" t="s">
        <v>464</v>
      </c>
      <c r="C201" s="97">
        <v>382</v>
      </c>
      <c r="D201" s="97">
        <v>369</v>
      </c>
      <c r="E201" s="97">
        <v>294</v>
      </c>
      <c r="F201" s="97">
        <v>82</v>
      </c>
      <c r="G201" s="97">
        <v>369</v>
      </c>
      <c r="H201" s="97">
        <v>172</v>
      </c>
      <c r="I201" s="98"/>
      <c r="J201" s="10">
        <f t="shared" si="9"/>
        <v>2.2919999999999998</v>
      </c>
      <c r="K201" s="11">
        <v>6</v>
      </c>
      <c r="L201" s="12">
        <f t="shared" si="10"/>
        <v>0.38200000000000001</v>
      </c>
      <c r="M201" s="13">
        <f t="shared" si="11"/>
        <v>382</v>
      </c>
      <c r="N201" s="15"/>
    </row>
    <row r="202" spans="1:16" s="5" customFormat="1" ht="12">
      <c r="A202" s="40" t="s">
        <v>150</v>
      </c>
      <c r="B202" s="40" t="s">
        <v>669</v>
      </c>
      <c r="C202" s="97">
        <v>829</v>
      </c>
      <c r="D202" s="97">
        <v>808</v>
      </c>
      <c r="E202" s="97">
        <v>606</v>
      </c>
      <c r="F202" s="97">
        <v>203</v>
      </c>
      <c r="G202" s="97">
        <v>810</v>
      </c>
      <c r="H202" s="97">
        <v>442</v>
      </c>
      <c r="I202" s="98"/>
      <c r="J202" s="10">
        <f t="shared" si="9"/>
        <v>4.9740000000000002</v>
      </c>
      <c r="K202" s="11">
        <v>6</v>
      </c>
      <c r="L202" s="12">
        <f t="shared" si="10"/>
        <v>0.82899999999999996</v>
      </c>
      <c r="M202" s="13">
        <f t="shared" si="11"/>
        <v>829</v>
      </c>
      <c r="N202" s="15"/>
    </row>
    <row r="203" spans="1:16" s="5" customFormat="1" ht="12">
      <c r="A203" s="40" t="s">
        <v>150</v>
      </c>
      <c r="B203" s="40" t="s">
        <v>855</v>
      </c>
      <c r="C203" s="97">
        <v>333</v>
      </c>
      <c r="D203" s="97">
        <v>327</v>
      </c>
      <c r="E203" s="97">
        <v>261</v>
      </c>
      <c r="F203" s="97">
        <v>101</v>
      </c>
      <c r="G203" s="97">
        <v>325</v>
      </c>
      <c r="H203" s="97">
        <v>178</v>
      </c>
      <c r="I203" s="98"/>
      <c r="J203" s="10">
        <f t="shared" si="9"/>
        <v>1.9980000000000002</v>
      </c>
      <c r="K203" s="11">
        <v>6</v>
      </c>
      <c r="L203" s="12">
        <f t="shared" si="10"/>
        <v>0.33300000000000002</v>
      </c>
      <c r="M203" s="13">
        <f t="shared" si="11"/>
        <v>333</v>
      </c>
      <c r="N203" s="15"/>
    </row>
    <row r="204" spans="1:16" s="5" customFormat="1" ht="12">
      <c r="A204" s="40" t="s">
        <v>150</v>
      </c>
      <c r="B204" s="40" t="s">
        <v>1053</v>
      </c>
      <c r="C204" s="97">
        <v>331</v>
      </c>
      <c r="D204" s="97">
        <v>323</v>
      </c>
      <c r="E204" s="97">
        <v>254</v>
      </c>
      <c r="F204" s="97">
        <v>68</v>
      </c>
      <c r="G204" s="97">
        <v>318</v>
      </c>
      <c r="H204" s="97">
        <v>147</v>
      </c>
      <c r="I204" s="98"/>
      <c r="J204" s="10">
        <f t="shared" si="9"/>
        <v>1.9860000000000002</v>
      </c>
      <c r="K204" s="11">
        <v>6</v>
      </c>
      <c r="L204" s="12">
        <f t="shared" si="10"/>
        <v>0.33100000000000002</v>
      </c>
      <c r="M204" s="13">
        <f t="shared" si="11"/>
        <v>331</v>
      </c>
      <c r="N204" s="15"/>
    </row>
    <row r="205" spans="1:16" s="5" customFormat="1" ht="12">
      <c r="A205" s="40" t="s">
        <v>150</v>
      </c>
      <c r="B205" s="40" t="s">
        <v>150</v>
      </c>
      <c r="C205" s="97">
        <v>7647</v>
      </c>
      <c r="D205" s="97">
        <v>7489</v>
      </c>
      <c r="E205" s="97">
        <v>6325</v>
      </c>
      <c r="F205" s="97">
        <v>2261</v>
      </c>
      <c r="G205" s="97">
        <v>7480</v>
      </c>
      <c r="H205" s="97">
        <v>4562</v>
      </c>
      <c r="I205" s="98"/>
      <c r="J205" s="10">
        <f t="shared" si="9"/>
        <v>45.882000000000005</v>
      </c>
      <c r="K205" s="11">
        <v>6</v>
      </c>
      <c r="L205" s="12">
        <f t="shared" si="10"/>
        <v>7.6470000000000002</v>
      </c>
      <c r="M205" s="13">
        <f t="shared" si="11"/>
        <v>7647</v>
      </c>
      <c r="N205" s="15"/>
    </row>
    <row r="206" spans="1:16" s="5" customFormat="1" ht="12">
      <c r="A206" s="40" t="s">
        <v>150</v>
      </c>
      <c r="B206" s="40" t="s">
        <v>1082</v>
      </c>
      <c r="C206" s="97">
        <v>432</v>
      </c>
      <c r="D206" s="97">
        <v>423</v>
      </c>
      <c r="E206" s="97">
        <v>305</v>
      </c>
      <c r="F206" s="97">
        <v>74</v>
      </c>
      <c r="G206" s="97">
        <v>422</v>
      </c>
      <c r="H206" s="97">
        <v>184</v>
      </c>
      <c r="I206" s="98"/>
      <c r="J206" s="10">
        <f t="shared" si="9"/>
        <v>2.5920000000000001</v>
      </c>
      <c r="K206" s="11">
        <v>6</v>
      </c>
      <c r="L206" s="12">
        <f t="shared" si="10"/>
        <v>0.432</v>
      </c>
      <c r="M206" s="13">
        <f t="shared" si="11"/>
        <v>432</v>
      </c>
      <c r="N206" s="15"/>
    </row>
    <row r="207" spans="1:16" s="5" customFormat="1" ht="12">
      <c r="A207" s="40" t="s">
        <v>150</v>
      </c>
      <c r="B207" s="40" t="s">
        <v>1127</v>
      </c>
      <c r="C207" s="97">
        <v>847</v>
      </c>
      <c r="D207" s="97">
        <v>832</v>
      </c>
      <c r="E207" s="97">
        <v>571</v>
      </c>
      <c r="F207" s="97">
        <v>160</v>
      </c>
      <c r="G207" s="97">
        <v>827</v>
      </c>
      <c r="H207" s="97">
        <v>398</v>
      </c>
      <c r="I207" s="98"/>
      <c r="J207" s="10">
        <f t="shared" si="9"/>
        <v>5.0819999999999999</v>
      </c>
      <c r="K207" s="11">
        <v>6</v>
      </c>
      <c r="L207" s="12">
        <f t="shared" si="10"/>
        <v>0.84699999999999998</v>
      </c>
      <c r="M207" s="13">
        <f t="shared" si="11"/>
        <v>847</v>
      </c>
      <c r="N207" s="15"/>
    </row>
    <row r="208" spans="1:16" s="5" customFormat="1" ht="12">
      <c r="A208" s="40" t="s">
        <v>150</v>
      </c>
      <c r="B208" s="40" t="s">
        <v>1269</v>
      </c>
      <c r="C208" s="97">
        <v>304</v>
      </c>
      <c r="D208" s="97">
        <v>289</v>
      </c>
      <c r="E208" s="97">
        <v>243</v>
      </c>
      <c r="F208" s="97">
        <v>62</v>
      </c>
      <c r="G208" s="97">
        <v>297</v>
      </c>
      <c r="H208" s="97">
        <v>148</v>
      </c>
      <c r="I208" s="98"/>
      <c r="J208" s="10">
        <f t="shared" si="9"/>
        <v>1.8239999999999998</v>
      </c>
      <c r="K208" s="11">
        <v>6</v>
      </c>
      <c r="L208" s="12">
        <f t="shared" si="10"/>
        <v>0.30399999999999999</v>
      </c>
      <c r="M208" s="13">
        <f t="shared" si="11"/>
        <v>304</v>
      </c>
      <c r="N208" s="15"/>
    </row>
    <row r="209" spans="1:16" s="5" customFormat="1" ht="12">
      <c r="A209" s="40" t="s">
        <v>150</v>
      </c>
      <c r="B209" s="40" t="s">
        <v>1288</v>
      </c>
      <c r="C209" s="97">
        <v>677</v>
      </c>
      <c r="D209" s="97">
        <v>648</v>
      </c>
      <c r="E209" s="97">
        <v>547</v>
      </c>
      <c r="F209" s="97">
        <v>158</v>
      </c>
      <c r="G209" s="97">
        <v>639</v>
      </c>
      <c r="H209" s="97">
        <v>359</v>
      </c>
      <c r="I209" s="98"/>
      <c r="J209" s="10">
        <f t="shared" si="9"/>
        <v>4.0620000000000003</v>
      </c>
      <c r="K209" s="11">
        <v>6</v>
      </c>
      <c r="L209" s="12">
        <f t="shared" si="10"/>
        <v>0.67700000000000005</v>
      </c>
      <c r="M209" s="13">
        <f t="shared" si="11"/>
        <v>677</v>
      </c>
      <c r="N209" s="15"/>
    </row>
    <row r="210" spans="1:16" s="5" customFormat="1" ht="12">
      <c r="A210" s="40" t="s">
        <v>150</v>
      </c>
      <c r="B210" s="40" t="s">
        <v>1304</v>
      </c>
      <c r="C210" s="97">
        <v>400</v>
      </c>
      <c r="D210" s="97">
        <v>389</v>
      </c>
      <c r="E210" s="97">
        <v>313</v>
      </c>
      <c r="F210" s="97">
        <v>79</v>
      </c>
      <c r="G210" s="97">
        <v>391</v>
      </c>
      <c r="H210" s="97">
        <v>180</v>
      </c>
      <c r="I210" s="98"/>
      <c r="J210" s="10">
        <f t="shared" si="9"/>
        <v>2.4000000000000004</v>
      </c>
      <c r="K210" s="11">
        <v>6</v>
      </c>
      <c r="L210" s="12">
        <f t="shared" si="10"/>
        <v>0.4</v>
      </c>
      <c r="M210" s="13">
        <f t="shared" si="11"/>
        <v>400</v>
      </c>
      <c r="N210" s="15"/>
    </row>
    <row r="211" spans="1:16" s="5" customFormat="1" ht="12">
      <c r="A211" s="40" t="s">
        <v>150</v>
      </c>
      <c r="B211" s="40" t="s">
        <v>1308</v>
      </c>
      <c r="C211" s="97">
        <v>1323</v>
      </c>
      <c r="D211" s="97">
        <v>1297</v>
      </c>
      <c r="E211" s="97">
        <v>1089</v>
      </c>
      <c r="F211" s="97">
        <v>299</v>
      </c>
      <c r="G211" s="97">
        <v>1302</v>
      </c>
      <c r="H211" s="97">
        <v>699</v>
      </c>
      <c r="I211" s="98"/>
      <c r="J211" s="10">
        <f t="shared" si="9"/>
        <v>7.9379999999999997</v>
      </c>
      <c r="K211" s="11">
        <v>6</v>
      </c>
      <c r="L211" s="12">
        <f t="shared" si="10"/>
        <v>1.323</v>
      </c>
      <c r="M211" s="13">
        <f t="shared" si="11"/>
        <v>1323</v>
      </c>
      <c r="N211" s="15"/>
    </row>
    <row r="212" spans="1:16" s="5" customFormat="1" ht="12">
      <c r="A212" s="40" t="s">
        <v>150</v>
      </c>
      <c r="B212" s="40" t="s">
        <v>1328</v>
      </c>
      <c r="C212" s="97">
        <v>521</v>
      </c>
      <c r="D212" s="97">
        <v>505</v>
      </c>
      <c r="E212" s="97">
        <v>444</v>
      </c>
      <c r="F212" s="97">
        <v>159</v>
      </c>
      <c r="G212" s="97">
        <v>516</v>
      </c>
      <c r="H212" s="97">
        <v>296</v>
      </c>
      <c r="I212" s="98"/>
      <c r="J212" s="10">
        <f t="shared" si="9"/>
        <v>3.1260000000000003</v>
      </c>
      <c r="K212" s="11">
        <v>6</v>
      </c>
      <c r="L212" s="12">
        <f t="shared" si="10"/>
        <v>0.52100000000000002</v>
      </c>
      <c r="M212" s="13">
        <f t="shared" si="11"/>
        <v>521</v>
      </c>
      <c r="N212" s="15"/>
    </row>
    <row r="213" spans="1:16" s="5" customFormat="1" ht="12">
      <c r="A213" s="40" t="s">
        <v>150</v>
      </c>
      <c r="B213" s="40" t="s">
        <v>1495</v>
      </c>
      <c r="C213" s="97">
        <v>385</v>
      </c>
      <c r="D213" s="97">
        <v>370</v>
      </c>
      <c r="E213" s="97">
        <v>313</v>
      </c>
      <c r="F213" s="97">
        <v>86</v>
      </c>
      <c r="G213" s="97">
        <v>378</v>
      </c>
      <c r="H213" s="97">
        <v>178</v>
      </c>
      <c r="I213" s="98"/>
      <c r="J213" s="10">
        <f t="shared" si="9"/>
        <v>2.31</v>
      </c>
      <c r="K213" s="11">
        <v>6</v>
      </c>
      <c r="L213" s="12">
        <f t="shared" si="10"/>
        <v>0.38500000000000001</v>
      </c>
      <c r="M213" s="13">
        <f t="shared" si="11"/>
        <v>385</v>
      </c>
      <c r="N213" s="15"/>
    </row>
    <row r="214" spans="1:16" s="5" customFormat="1" ht="12">
      <c r="A214" s="40" t="s">
        <v>150</v>
      </c>
      <c r="B214" s="40" t="s">
        <v>1544</v>
      </c>
      <c r="C214" s="97">
        <v>355</v>
      </c>
      <c r="D214" s="97">
        <v>345</v>
      </c>
      <c r="E214" s="97">
        <v>270</v>
      </c>
      <c r="F214" s="97">
        <v>69</v>
      </c>
      <c r="G214" s="97">
        <v>342</v>
      </c>
      <c r="H214" s="97">
        <v>170</v>
      </c>
      <c r="I214" s="98"/>
      <c r="J214" s="10">
        <f t="shared" si="9"/>
        <v>2.13</v>
      </c>
      <c r="K214" s="11">
        <v>6</v>
      </c>
      <c r="L214" s="12">
        <f t="shared" si="10"/>
        <v>0.35499999999999998</v>
      </c>
      <c r="M214" s="13">
        <f t="shared" si="11"/>
        <v>355</v>
      </c>
      <c r="N214" s="15"/>
    </row>
    <row r="215" spans="1:16" s="5" customFormat="1" ht="12">
      <c r="A215" s="40" t="s">
        <v>150</v>
      </c>
      <c r="B215" s="40" t="s">
        <v>1578</v>
      </c>
      <c r="C215" s="97">
        <v>329</v>
      </c>
      <c r="D215" s="97">
        <v>313</v>
      </c>
      <c r="E215" s="97">
        <v>231</v>
      </c>
      <c r="F215" s="97">
        <v>73</v>
      </c>
      <c r="G215" s="97">
        <v>316</v>
      </c>
      <c r="H215" s="97">
        <v>155</v>
      </c>
      <c r="I215" s="98"/>
      <c r="J215" s="10">
        <f t="shared" si="9"/>
        <v>1.9740000000000002</v>
      </c>
      <c r="K215" s="11">
        <v>6</v>
      </c>
      <c r="L215" s="12">
        <f t="shared" si="10"/>
        <v>0.32900000000000001</v>
      </c>
      <c r="M215" s="13">
        <f t="shared" si="11"/>
        <v>329</v>
      </c>
      <c r="N215" s="15"/>
    </row>
    <row r="216" spans="1:16" s="5" customFormat="1" ht="12">
      <c r="A216" s="40" t="s">
        <v>150</v>
      </c>
      <c r="B216" s="40" t="s">
        <v>1791</v>
      </c>
      <c r="C216" s="97">
        <v>712</v>
      </c>
      <c r="D216" s="97">
        <v>704</v>
      </c>
      <c r="E216" s="97">
        <v>555</v>
      </c>
      <c r="F216" s="97">
        <v>153</v>
      </c>
      <c r="G216" s="97">
        <v>694</v>
      </c>
      <c r="H216" s="97">
        <v>360</v>
      </c>
      <c r="I216" s="98"/>
      <c r="J216" s="10">
        <f t="shared" si="9"/>
        <v>4.2720000000000002</v>
      </c>
      <c r="K216" s="11">
        <v>6</v>
      </c>
      <c r="L216" s="12">
        <f t="shared" si="10"/>
        <v>0.71199999999999997</v>
      </c>
      <c r="M216" s="13">
        <f t="shared" si="11"/>
        <v>712</v>
      </c>
      <c r="N216" s="15"/>
    </row>
    <row r="217" spans="1:16" s="5" customFormat="1" ht="12">
      <c r="A217" s="40" t="s">
        <v>150</v>
      </c>
      <c r="B217" s="40" t="s">
        <v>1799</v>
      </c>
      <c r="C217" s="97">
        <v>776</v>
      </c>
      <c r="D217" s="97">
        <v>758</v>
      </c>
      <c r="E217" s="97">
        <v>585</v>
      </c>
      <c r="F217" s="97">
        <v>172</v>
      </c>
      <c r="G217" s="97">
        <v>757</v>
      </c>
      <c r="H217" s="97">
        <v>391</v>
      </c>
      <c r="I217" s="98"/>
      <c r="J217" s="10">
        <f t="shared" si="9"/>
        <v>4.6560000000000006</v>
      </c>
      <c r="K217" s="11">
        <v>6</v>
      </c>
      <c r="L217" s="12">
        <f t="shared" si="10"/>
        <v>0.77600000000000002</v>
      </c>
      <c r="M217" s="13">
        <f t="shared" si="11"/>
        <v>776</v>
      </c>
      <c r="N217" s="15"/>
    </row>
    <row r="218" spans="1:16" s="46" customFormat="1" ht="12">
      <c r="A218" s="40" t="s">
        <v>150</v>
      </c>
      <c r="B218" s="40" t="s">
        <v>1810</v>
      </c>
      <c r="C218" s="97">
        <v>423</v>
      </c>
      <c r="D218" s="97">
        <v>401</v>
      </c>
      <c r="E218" s="97">
        <v>325</v>
      </c>
      <c r="F218" s="97">
        <v>110</v>
      </c>
      <c r="G218" s="97">
        <v>416</v>
      </c>
      <c r="H218" s="97">
        <v>208</v>
      </c>
      <c r="I218" s="98"/>
      <c r="J218" s="10">
        <f t="shared" si="9"/>
        <v>2.5379999999999998</v>
      </c>
      <c r="K218" s="11">
        <v>6</v>
      </c>
      <c r="L218" s="12">
        <f t="shared" si="10"/>
        <v>0.42299999999999999</v>
      </c>
      <c r="M218" s="13">
        <f t="shared" si="11"/>
        <v>423</v>
      </c>
      <c r="N218" s="15"/>
      <c r="O218" s="5"/>
      <c r="P218" s="5"/>
    </row>
    <row r="219" spans="1:16" s="5" customFormat="1" ht="12">
      <c r="A219" s="40" t="s">
        <v>150</v>
      </c>
      <c r="B219" s="40" t="s">
        <v>1892</v>
      </c>
      <c r="C219" s="97">
        <v>493</v>
      </c>
      <c r="D219" s="97">
        <v>485</v>
      </c>
      <c r="E219" s="97">
        <v>395</v>
      </c>
      <c r="F219" s="97">
        <v>103</v>
      </c>
      <c r="G219" s="97">
        <v>485</v>
      </c>
      <c r="H219" s="97">
        <v>209</v>
      </c>
      <c r="I219" s="98"/>
      <c r="J219" s="10">
        <f t="shared" si="9"/>
        <v>2.9580000000000002</v>
      </c>
      <c r="K219" s="11">
        <v>6</v>
      </c>
      <c r="L219" s="12">
        <f t="shared" si="10"/>
        <v>0.49299999999999999</v>
      </c>
      <c r="M219" s="13">
        <f t="shared" si="11"/>
        <v>493</v>
      </c>
      <c r="N219" s="15"/>
    </row>
    <row r="220" spans="1:16" s="5" customFormat="1" ht="12">
      <c r="A220" s="40" t="s">
        <v>191</v>
      </c>
      <c r="B220" s="40" t="s">
        <v>938</v>
      </c>
      <c r="C220" s="97">
        <v>301</v>
      </c>
      <c r="D220" s="97">
        <v>289</v>
      </c>
      <c r="E220" s="97">
        <v>216</v>
      </c>
      <c r="F220" s="97">
        <v>85</v>
      </c>
      <c r="G220" s="97">
        <v>295</v>
      </c>
      <c r="H220" s="97">
        <v>161</v>
      </c>
      <c r="I220" s="98"/>
      <c r="J220" s="10">
        <f t="shared" si="9"/>
        <v>1.806</v>
      </c>
      <c r="K220" s="11">
        <v>6</v>
      </c>
      <c r="L220" s="12">
        <f t="shared" si="10"/>
        <v>0.30099999999999999</v>
      </c>
      <c r="M220" s="13">
        <f t="shared" si="11"/>
        <v>301</v>
      </c>
      <c r="N220" s="15"/>
    </row>
    <row r="221" spans="1:16" s="5" customFormat="1" ht="12">
      <c r="A221" s="40" t="s">
        <v>191</v>
      </c>
      <c r="B221" s="40" t="s">
        <v>1180</v>
      </c>
      <c r="C221" s="97">
        <v>460</v>
      </c>
      <c r="D221" s="97">
        <v>450</v>
      </c>
      <c r="E221" s="97">
        <v>365</v>
      </c>
      <c r="F221" s="97">
        <v>125</v>
      </c>
      <c r="G221" s="97">
        <v>444</v>
      </c>
      <c r="H221" s="97">
        <v>249</v>
      </c>
      <c r="I221" s="98"/>
      <c r="J221" s="10">
        <f t="shared" si="9"/>
        <v>2.7600000000000002</v>
      </c>
      <c r="K221" s="11">
        <v>6</v>
      </c>
      <c r="L221" s="12">
        <f t="shared" si="10"/>
        <v>0.46</v>
      </c>
      <c r="M221" s="13">
        <f t="shared" si="11"/>
        <v>460</v>
      </c>
      <c r="N221" s="15"/>
    </row>
    <row r="222" spans="1:16" s="5" customFormat="1" ht="12">
      <c r="A222" s="40" t="s">
        <v>191</v>
      </c>
      <c r="B222" s="40" t="s">
        <v>1412</v>
      </c>
      <c r="C222" s="97">
        <v>344</v>
      </c>
      <c r="D222" s="97">
        <v>325</v>
      </c>
      <c r="E222" s="97">
        <v>286</v>
      </c>
      <c r="F222" s="97">
        <v>116</v>
      </c>
      <c r="G222" s="97">
        <v>330</v>
      </c>
      <c r="H222" s="97">
        <v>236</v>
      </c>
      <c r="I222" s="98"/>
      <c r="J222" s="10">
        <f t="shared" si="9"/>
        <v>2.0640000000000001</v>
      </c>
      <c r="K222" s="11">
        <v>6</v>
      </c>
      <c r="L222" s="12">
        <f t="shared" si="10"/>
        <v>0.34399999999999997</v>
      </c>
      <c r="M222" s="13">
        <f t="shared" si="11"/>
        <v>344</v>
      </c>
      <c r="N222" s="15"/>
    </row>
    <row r="223" spans="1:16" s="5" customFormat="1" ht="12">
      <c r="A223" s="40" t="s">
        <v>330</v>
      </c>
      <c r="B223" s="40" t="s">
        <v>331</v>
      </c>
      <c r="C223" s="97">
        <v>614</v>
      </c>
      <c r="D223" s="97">
        <v>597</v>
      </c>
      <c r="E223" s="97">
        <v>512</v>
      </c>
      <c r="F223" s="97">
        <v>131</v>
      </c>
      <c r="G223" s="97">
        <v>603</v>
      </c>
      <c r="H223" s="97">
        <v>334</v>
      </c>
      <c r="I223" s="98"/>
      <c r="J223" s="10">
        <f t="shared" si="9"/>
        <v>3.6840000000000002</v>
      </c>
      <c r="K223" s="11">
        <v>6</v>
      </c>
      <c r="L223" s="12">
        <f t="shared" si="10"/>
        <v>0.61399999999999999</v>
      </c>
      <c r="M223" s="13">
        <f t="shared" si="11"/>
        <v>614</v>
      </c>
      <c r="N223" s="15"/>
    </row>
    <row r="224" spans="1:16" s="5" customFormat="1" ht="12">
      <c r="A224" s="40" t="s">
        <v>330</v>
      </c>
      <c r="B224" s="40" t="s">
        <v>391</v>
      </c>
      <c r="C224" s="97">
        <v>528</v>
      </c>
      <c r="D224" s="97">
        <v>511</v>
      </c>
      <c r="E224" s="97">
        <v>448</v>
      </c>
      <c r="F224" s="97">
        <v>117</v>
      </c>
      <c r="G224" s="97">
        <v>517</v>
      </c>
      <c r="H224" s="97">
        <v>304</v>
      </c>
      <c r="I224" s="98"/>
      <c r="J224" s="10">
        <f t="shared" si="9"/>
        <v>3.1680000000000001</v>
      </c>
      <c r="K224" s="11">
        <v>6</v>
      </c>
      <c r="L224" s="12">
        <f t="shared" si="10"/>
        <v>0.52800000000000002</v>
      </c>
      <c r="M224" s="13">
        <f t="shared" si="11"/>
        <v>528</v>
      </c>
      <c r="N224" s="15"/>
    </row>
    <row r="225" spans="1:16" s="5" customFormat="1" ht="12">
      <c r="A225" s="40" t="s">
        <v>330</v>
      </c>
      <c r="B225" s="40" t="s">
        <v>451</v>
      </c>
      <c r="C225" s="97">
        <v>347</v>
      </c>
      <c r="D225" s="97">
        <v>341</v>
      </c>
      <c r="E225" s="97">
        <v>258</v>
      </c>
      <c r="F225" s="97">
        <v>53</v>
      </c>
      <c r="G225" s="97">
        <v>341</v>
      </c>
      <c r="H225" s="97">
        <v>152</v>
      </c>
      <c r="I225" s="98"/>
      <c r="J225" s="10">
        <f t="shared" si="9"/>
        <v>2.0819999999999999</v>
      </c>
      <c r="K225" s="11">
        <v>6</v>
      </c>
      <c r="L225" s="12">
        <f t="shared" si="10"/>
        <v>0.34699999999999998</v>
      </c>
      <c r="M225" s="13">
        <f t="shared" si="11"/>
        <v>347</v>
      </c>
      <c r="N225" s="15"/>
    </row>
    <row r="226" spans="1:16" s="5" customFormat="1" ht="12">
      <c r="A226" s="40" t="s">
        <v>330</v>
      </c>
      <c r="B226" s="40" t="s">
        <v>604</v>
      </c>
      <c r="C226" s="97">
        <v>319</v>
      </c>
      <c r="D226" s="97">
        <v>311</v>
      </c>
      <c r="E226" s="97">
        <v>219</v>
      </c>
      <c r="F226" s="97">
        <v>88</v>
      </c>
      <c r="G226" s="97">
        <v>306</v>
      </c>
      <c r="H226" s="97">
        <v>171</v>
      </c>
      <c r="I226" s="98"/>
      <c r="J226" s="10">
        <f t="shared" si="9"/>
        <v>1.9140000000000001</v>
      </c>
      <c r="K226" s="11">
        <v>6</v>
      </c>
      <c r="L226" s="12">
        <f t="shared" si="10"/>
        <v>0.31900000000000001</v>
      </c>
      <c r="M226" s="13">
        <f t="shared" si="11"/>
        <v>319</v>
      </c>
      <c r="N226" s="15"/>
    </row>
    <row r="227" spans="1:16" s="5" customFormat="1" ht="12">
      <c r="A227" s="40" t="s">
        <v>330</v>
      </c>
      <c r="B227" s="40" t="s">
        <v>691</v>
      </c>
      <c r="C227" s="97">
        <v>404</v>
      </c>
      <c r="D227" s="97">
        <v>382</v>
      </c>
      <c r="E227" s="97">
        <v>254</v>
      </c>
      <c r="F227" s="97">
        <v>62</v>
      </c>
      <c r="G227" s="97">
        <v>390</v>
      </c>
      <c r="H227" s="97">
        <v>190</v>
      </c>
      <c r="I227" s="98"/>
      <c r="J227" s="10">
        <f t="shared" si="9"/>
        <v>2.4240000000000004</v>
      </c>
      <c r="K227" s="11">
        <v>6</v>
      </c>
      <c r="L227" s="12">
        <f t="shared" si="10"/>
        <v>0.40400000000000003</v>
      </c>
      <c r="M227" s="13">
        <f t="shared" si="11"/>
        <v>404</v>
      </c>
      <c r="N227" s="15"/>
    </row>
    <row r="228" spans="1:16" s="5" customFormat="1" ht="12">
      <c r="A228" s="40" t="s">
        <v>330</v>
      </c>
      <c r="B228" s="40" t="s">
        <v>695</v>
      </c>
      <c r="C228" s="97">
        <v>375</v>
      </c>
      <c r="D228" s="97">
        <v>371</v>
      </c>
      <c r="E228" s="97">
        <v>300</v>
      </c>
      <c r="F228" s="97">
        <v>90</v>
      </c>
      <c r="G228" s="97">
        <v>371</v>
      </c>
      <c r="H228" s="97">
        <v>214</v>
      </c>
      <c r="I228" s="98"/>
      <c r="J228" s="10">
        <f t="shared" si="9"/>
        <v>2.25</v>
      </c>
      <c r="K228" s="11">
        <v>6</v>
      </c>
      <c r="L228" s="12">
        <f t="shared" si="10"/>
        <v>0.375</v>
      </c>
      <c r="M228" s="13">
        <f t="shared" si="11"/>
        <v>375</v>
      </c>
      <c r="N228" s="15"/>
    </row>
    <row r="229" spans="1:16" s="5" customFormat="1" ht="12">
      <c r="A229" s="40" t="s">
        <v>330</v>
      </c>
      <c r="B229" s="40" t="s">
        <v>780</v>
      </c>
      <c r="C229" s="97">
        <v>499</v>
      </c>
      <c r="D229" s="97">
        <v>494</v>
      </c>
      <c r="E229" s="97">
        <v>391</v>
      </c>
      <c r="F229" s="97">
        <v>127</v>
      </c>
      <c r="G229" s="97">
        <v>487</v>
      </c>
      <c r="H229" s="97">
        <v>284</v>
      </c>
      <c r="I229" s="98"/>
      <c r="J229" s="10">
        <f t="shared" si="9"/>
        <v>2.9939999999999998</v>
      </c>
      <c r="K229" s="11">
        <v>6</v>
      </c>
      <c r="L229" s="12">
        <f t="shared" si="10"/>
        <v>0.499</v>
      </c>
      <c r="M229" s="13">
        <f t="shared" si="11"/>
        <v>499</v>
      </c>
      <c r="N229" s="15"/>
    </row>
    <row r="230" spans="1:16" s="2" customFormat="1" ht="12">
      <c r="A230" s="40" t="s">
        <v>330</v>
      </c>
      <c r="B230" s="40" t="s">
        <v>808</v>
      </c>
      <c r="C230" s="97">
        <v>704</v>
      </c>
      <c r="D230" s="97">
        <v>680</v>
      </c>
      <c r="E230" s="97">
        <v>587</v>
      </c>
      <c r="F230" s="97">
        <v>158</v>
      </c>
      <c r="G230" s="97">
        <v>696</v>
      </c>
      <c r="H230" s="97">
        <v>431</v>
      </c>
      <c r="I230" s="98"/>
      <c r="J230" s="10">
        <f t="shared" si="9"/>
        <v>4.2240000000000002</v>
      </c>
      <c r="K230" s="11">
        <v>6</v>
      </c>
      <c r="L230" s="12">
        <f t="shared" si="10"/>
        <v>0.70399999999999996</v>
      </c>
      <c r="M230" s="13">
        <f t="shared" si="11"/>
        <v>704</v>
      </c>
      <c r="N230" s="15"/>
      <c r="O230" s="5"/>
      <c r="P230" s="5"/>
    </row>
    <row r="231" spans="1:16" s="2" customFormat="1" ht="12">
      <c r="A231" s="40" t="s">
        <v>330</v>
      </c>
      <c r="B231" s="40" t="s">
        <v>858</v>
      </c>
      <c r="C231" s="97">
        <v>738</v>
      </c>
      <c r="D231" s="97">
        <v>728</v>
      </c>
      <c r="E231" s="97">
        <v>596</v>
      </c>
      <c r="F231" s="97">
        <v>182</v>
      </c>
      <c r="G231" s="97">
        <v>719</v>
      </c>
      <c r="H231" s="97">
        <v>414</v>
      </c>
      <c r="I231" s="98"/>
      <c r="J231" s="10">
        <f t="shared" si="9"/>
        <v>4.4279999999999999</v>
      </c>
      <c r="K231" s="11">
        <v>6</v>
      </c>
      <c r="L231" s="12">
        <f t="shared" si="10"/>
        <v>0.73799999999999999</v>
      </c>
      <c r="M231" s="13">
        <f t="shared" si="11"/>
        <v>738</v>
      </c>
      <c r="N231" s="15"/>
      <c r="O231" s="5"/>
      <c r="P231" s="5"/>
    </row>
    <row r="232" spans="1:16" s="5" customFormat="1" ht="12">
      <c r="A232" s="40" t="s">
        <v>330</v>
      </c>
      <c r="B232" s="40" t="s">
        <v>868</v>
      </c>
      <c r="C232" s="97">
        <v>559</v>
      </c>
      <c r="D232" s="97">
        <v>553</v>
      </c>
      <c r="E232" s="97">
        <v>474</v>
      </c>
      <c r="F232" s="97">
        <v>115</v>
      </c>
      <c r="G232" s="97">
        <v>549</v>
      </c>
      <c r="H232" s="97">
        <v>281</v>
      </c>
      <c r="I232" s="98"/>
      <c r="J232" s="10">
        <f t="shared" si="9"/>
        <v>3.3540000000000001</v>
      </c>
      <c r="K232" s="11">
        <v>6</v>
      </c>
      <c r="L232" s="12">
        <f t="shared" si="10"/>
        <v>0.55900000000000005</v>
      </c>
      <c r="M232" s="13">
        <f t="shared" si="11"/>
        <v>559</v>
      </c>
      <c r="N232" s="15"/>
    </row>
    <row r="233" spans="1:16" s="5" customFormat="1" ht="12">
      <c r="A233" s="40" t="s">
        <v>330</v>
      </c>
      <c r="B233" s="40" t="s">
        <v>869</v>
      </c>
      <c r="C233" s="97">
        <v>578</v>
      </c>
      <c r="D233" s="97">
        <v>566</v>
      </c>
      <c r="E233" s="97">
        <v>487</v>
      </c>
      <c r="F233" s="97">
        <v>133</v>
      </c>
      <c r="G233" s="97">
        <v>564</v>
      </c>
      <c r="H233" s="97">
        <v>318</v>
      </c>
      <c r="I233" s="98"/>
      <c r="J233" s="10">
        <f t="shared" si="9"/>
        <v>3.468</v>
      </c>
      <c r="K233" s="11">
        <v>6</v>
      </c>
      <c r="L233" s="12">
        <f t="shared" si="10"/>
        <v>0.57799999999999996</v>
      </c>
      <c r="M233" s="13">
        <f t="shared" si="11"/>
        <v>578</v>
      </c>
      <c r="N233" s="15"/>
    </row>
    <row r="234" spans="1:16" s="2" customFormat="1" ht="12">
      <c r="A234" s="40" t="s">
        <v>330</v>
      </c>
      <c r="B234" s="40" t="s">
        <v>876</v>
      </c>
      <c r="C234" s="97">
        <v>547</v>
      </c>
      <c r="D234" s="97">
        <v>531</v>
      </c>
      <c r="E234" s="97">
        <v>424</v>
      </c>
      <c r="F234" s="97">
        <v>98</v>
      </c>
      <c r="G234" s="97">
        <v>529</v>
      </c>
      <c r="H234" s="97">
        <v>292</v>
      </c>
      <c r="I234" s="98"/>
      <c r="J234" s="10">
        <f t="shared" si="9"/>
        <v>3.282</v>
      </c>
      <c r="K234" s="11">
        <v>6</v>
      </c>
      <c r="L234" s="12">
        <f t="shared" si="10"/>
        <v>0.54700000000000004</v>
      </c>
      <c r="M234" s="13">
        <f t="shared" si="11"/>
        <v>547</v>
      </c>
      <c r="N234" s="15"/>
      <c r="O234" s="5"/>
      <c r="P234" s="5"/>
    </row>
    <row r="235" spans="1:16" s="2" customFormat="1" ht="12">
      <c r="A235" s="40" t="s">
        <v>330</v>
      </c>
      <c r="B235" s="40" t="s">
        <v>878</v>
      </c>
      <c r="C235" s="97">
        <v>758</v>
      </c>
      <c r="D235" s="97">
        <v>747</v>
      </c>
      <c r="E235" s="97">
        <v>611</v>
      </c>
      <c r="F235" s="97">
        <v>176</v>
      </c>
      <c r="G235" s="97">
        <v>747</v>
      </c>
      <c r="H235" s="97">
        <v>485</v>
      </c>
      <c r="I235" s="98"/>
      <c r="J235" s="10">
        <f t="shared" si="9"/>
        <v>4.548</v>
      </c>
      <c r="K235" s="11">
        <v>6</v>
      </c>
      <c r="L235" s="12">
        <f t="shared" si="10"/>
        <v>0.75800000000000001</v>
      </c>
      <c r="M235" s="13">
        <f t="shared" si="11"/>
        <v>758</v>
      </c>
      <c r="N235" s="15"/>
      <c r="O235" s="5"/>
      <c r="P235" s="5"/>
    </row>
    <row r="236" spans="1:16" s="5" customFormat="1" ht="12">
      <c r="A236" s="40" t="s">
        <v>330</v>
      </c>
      <c r="B236" s="40" t="s">
        <v>879</v>
      </c>
      <c r="C236" s="97">
        <v>573</v>
      </c>
      <c r="D236" s="97">
        <v>561</v>
      </c>
      <c r="E236" s="97">
        <v>448</v>
      </c>
      <c r="F236" s="97">
        <v>168</v>
      </c>
      <c r="G236" s="97">
        <v>569</v>
      </c>
      <c r="H236" s="97">
        <v>389</v>
      </c>
      <c r="I236" s="98"/>
      <c r="J236" s="10">
        <f t="shared" si="9"/>
        <v>3.4379999999999997</v>
      </c>
      <c r="K236" s="11">
        <v>6</v>
      </c>
      <c r="L236" s="12">
        <f t="shared" si="10"/>
        <v>0.57299999999999995</v>
      </c>
      <c r="M236" s="13">
        <f t="shared" si="11"/>
        <v>573</v>
      </c>
      <c r="N236" s="15"/>
    </row>
    <row r="237" spans="1:16" s="5" customFormat="1" ht="12">
      <c r="A237" s="40" t="s">
        <v>330</v>
      </c>
      <c r="B237" s="40" t="s">
        <v>982</v>
      </c>
      <c r="C237" s="97">
        <v>714</v>
      </c>
      <c r="D237" s="97">
        <v>694</v>
      </c>
      <c r="E237" s="97">
        <v>604</v>
      </c>
      <c r="F237" s="97">
        <v>143</v>
      </c>
      <c r="G237" s="97">
        <v>705</v>
      </c>
      <c r="H237" s="97">
        <v>369</v>
      </c>
      <c r="I237" s="98"/>
      <c r="J237" s="10">
        <f t="shared" si="9"/>
        <v>4.2839999999999998</v>
      </c>
      <c r="K237" s="11">
        <v>6</v>
      </c>
      <c r="L237" s="12">
        <f t="shared" si="10"/>
        <v>0.71399999999999997</v>
      </c>
      <c r="M237" s="13">
        <f t="shared" si="11"/>
        <v>714</v>
      </c>
      <c r="N237" s="15"/>
    </row>
    <row r="238" spans="1:16" s="5" customFormat="1" ht="12">
      <c r="A238" s="40" t="s">
        <v>330</v>
      </c>
      <c r="B238" s="40" t="s">
        <v>986</v>
      </c>
      <c r="C238" s="97">
        <v>434</v>
      </c>
      <c r="D238" s="97">
        <v>431</v>
      </c>
      <c r="E238" s="97">
        <v>370</v>
      </c>
      <c r="F238" s="97">
        <v>140</v>
      </c>
      <c r="G238" s="97">
        <v>422</v>
      </c>
      <c r="H238" s="97">
        <v>288</v>
      </c>
      <c r="I238" s="98"/>
      <c r="J238" s="10">
        <f t="shared" si="9"/>
        <v>2.6040000000000001</v>
      </c>
      <c r="K238" s="11">
        <v>6</v>
      </c>
      <c r="L238" s="12">
        <f t="shared" si="10"/>
        <v>0.434</v>
      </c>
      <c r="M238" s="13">
        <f t="shared" si="11"/>
        <v>434</v>
      </c>
      <c r="N238" s="15"/>
    </row>
    <row r="239" spans="1:16" s="5" customFormat="1" ht="12">
      <c r="A239" s="40" t="s">
        <v>330</v>
      </c>
      <c r="B239" s="40" t="s">
        <v>1005</v>
      </c>
      <c r="C239" s="97">
        <v>460</v>
      </c>
      <c r="D239" s="97">
        <v>453</v>
      </c>
      <c r="E239" s="97">
        <v>369</v>
      </c>
      <c r="F239" s="97">
        <v>69</v>
      </c>
      <c r="G239" s="97">
        <v>454</v>
      </c>
      <c r="H239" s="97">
        <v>199</v>
      </c>
      <c r="I239" s="98"/>
      <c r="J239" s="10">
        <f t="shared" si="9"/>
        <v>2.7600000000000002</v>
      </c>
      <c r="K239" s="11">
        <v>6</v>
      </c>
      <c r="L239" s="12">
        <f t="shared" si="10"/>
        <v>0.46</v>
      </c>
      <c r="M239" s="13">
        <f t="shared" si="11"/>
        <v>460</v>
      </c>
      <c r="N239" s="15"/>
    </row>
    <row r="240" spans="1:16" s="5" customFormat="1" ht="12">
      <c r="A240" s="40" t="s">
        <v>330</v>
      </c>
      <c r="B240" s="40" t="s">
        <v>1109</v>
      </c>
      <c r="C240" s="97">
        <v>465</v>
      </c>
      <c r="D240" s="97">
        <v>456</v>
      </c>
      <c r="E240" s="97">
        <v>370</v>
      </c>
      <c r="F240" s="97">
        <v>86</v>
      </c>
      <c r="G240" s="97">
        <v>454</v>
      </c>
      <c r="H240" s="97">
        <v>230</v>
      </c>
      <c r="I240" s="98"/>
      <c r="J240" s="10">
        <f t="shared" si="9"/>
        <v>2.79</v>
      </c>
      <c r="K240" s="11">
        <v>6</v>
      </c>
      <c r="L240" s="12">
        <f t="shared" si="10"/>
        <v>0.46500000000000002</v>
      </c>
      <c r="M240" s="13">
        <f t="shared" si="11"/>
        <v>465</v>
      </c>
      <c r="N240" s="15"/>
    </row>
    <row r="241" spans="1:14" s="5" customFormat="1" ht="12">
      <c r="A241" s="40" t="s">
        <v>330</v>
      </c>
      <c r="B241" s="40" t="s">
        <v>1123</v>
      </c>
      <c r="C241" s="97">
        <v>528</v>
      </c>
      <c r="D241" s="97">
        <v>506</v>
      </c>
      <c r="E241" s="97">
        <v>399</v>
      </c>
      <c r="F241" s="97">
        <v>151</v>
      </c>
      <c r="G241" s="97">
        <v>512</v>
      </c>
      <c r="H241" s="97">
        <v>318</v>
      </c>
      <c r="I241" s="98"/>
      <c r="J241" s="10">
        <f t="shared" si="9"/>
        <v>3.1680000000000001</v>
      </c>
      <c r="K241" s="11">
        <v>6</v>
      </c>
      <c r="L241" s="12">
        <f t="shared" si="10"/>
        <v>0.52800000000000002</v>
      </c>
      <c r="M241" s="13">
        <f t="shared" si="11"/>
        <v>528</v>
      </c>
      <c r="N241" s="15"/>
    </row>
    <row r="242" spans="1:14" s="5" customFormat="1" ht="12">
      <c r="A242" s="40" t="s">
        <v>330</v>
      </c>
      <c r="B242" s="40" t="s">
        <v>1194</v>
      </c>
      <c r="C242" s="97">
        <v>685</v>
      </c>
      <c r="D242" s="97">
        <v>679</v>
      </c>
      <c r="E242" s="97">
        <v>509</v>
      </c>
      <c r="F242" s="97">
        <v>121</v>
      </c>
      <c r="G242" s="97">
        <v>675</v>
      </c>
      <c r="H242" s="97">
        <v>325</v>
      </c>
      <c r="I242" s="98"/>
      <c r="J242" s="10">
        <f t="shared" si="9"/>
        <v>4.1100000000000003</v>
      </c>
      <c r="K242" s="11">
        <v>6</v>
      </c>
      <c r="L242" s="12">
        <f t="shared" si="10"/>
        <v>0.68500000000000005</v>
      </c>
      <c r="M242" s="13">
        <f t="shared" si="11"/>
        <v>685</v>
      </c>
      <c r="N242" s="15"/>
    </row>
    <row r="243" spans="1:14" s="5" customFormat="1" ht="12">
      <c r="A243" s="40" t="s">
        <v>330</v>
      </c>
      <c r="B243" s="40" t="s">
        <v>1242</v>
      </c>
      <c r="C243" s="97">
        <v>577</v>
      </c>
      <c r="D243" s="97">
        <v>552</v>
      </c>
      <c r="E243" s="97">
        <v>426</v>
      </c>
      <c r="F243" s="97">
        <v>135</v>
      </c>
      <c r="G243" s="97">
        <v>566</v>
      </c>
      <c r="H243" s="97">
        <v>324</v>
      </c>
      <c r="I243" s="98"/>
      <c r="J243" s="10">
        <f t="shared" si="9"/>
        <v>3.4619999999999997</v>
      </c>
      <c r="K243" s="11">
        <v>6</v>
      </c>
      <c r="L243" s="12">
        <f t="shared" si="10"/>
        <v>0.57699999999999996</v>
      </c>
      <c r="M243" s="13">
        <f t="shared" si="11"/>
        <v>577</v>
      </c>
      <c r="N243" s="15"/>
    </row>
    <row r="244" spans="1:14" s="5" customFormat="1" ht="12">
      <c r="A244" s="40" t="s">
        <v>330</v>
      </c>
      <c r="B244" s="40" t="s">
        <v>1246</v>
      </c>
      <c r="C244" s="97">
        <v>859</v>
      </c>
      <c r="D244" s="97">
        <v>847</v>
      </c>
      <c r="E244" s="97">
        <v>664</v>
      </c>
      <c r="F244" s="97">
        <v>209</v>
      </c>
      <c r="G244" s="97">
        <v>844</v>
      </c>
      <c r="H244" s="97">
        <v>516</v>
      </c>
      <c r="I244" s="98"/>
      <c r="J244" s="10">
        <f t="shared" si="9"/>
        <v>5.1539999999999999</v>
      </c>
      <c r="K244" s="11">
        <v>6</v>
      </c>
      <c r="L244" s="12">
        <f t="shared" si="10"/>
        <v>0.85899999999999999</v>
      </c>
      <c r="M244" s="13">
        <f t="shared" si="11"/>
        <v>859</v>
      </c>
      <c r="N244" s="15"/>
    </row>
    <row r="245" spans="1:14" s="5" customFormat="1" ht="12">
      <c r="A245" s="40" t="s">
        <v>330</v>
      </c>
      <c r="B245" s="40" t="s">
        <v>1525</v>
      </c>
      <c r="C245" s="97">
        <v>364</v>
      </c>
      <c r="D245" s="97">
        <v>357</v>
      </c>
      <c r="E245" s="97">
        <v>277</v>
      </c>
      <c r="F245" s="97">
        <v>94</v>
      </c>
      <c r="G245" s="97">
        <v>361</v>
      </c>
      <c r="H245" s="97">
        <v>216</v>
      </c>
      <c r="I245" s="98"/>
      <c r="J245" s="10">
        <f t="shared" si="9"/>
        <v>2.1840000000000002</v>
      </c>
      <c r="K245" s="11">
        <v>6</v>
      </c>
      <c r="L245" s="12">
        <f t="shared" si="10"/>
        <v>0.36399999999999999</v>
      </c>
      <c r="M245" s="13">
        <f t="shared" si="11"/>
        <v>364</v>
      </c>
      <c r="N245" s="15"/>
    </row>
    <row r="246" spans="1:14" s="5" customFormat="1" ht="12">
      <c r="A246" s="40" t="s">
        <v>330</v>
      </c>
      <c r="B246" s="40" t="s">
        <v>1773</v>
      </c>
      <c r="C246" s="97">
        <v>306</v>
      </c>
      <c r="D246" s="97">
        <v>300</v>
      </c>
      <c r="E246" s="97">
        <v>214</v>
      </c>
      <c r="F246" s="97">
        <v>53</v>
      </c>
      <c r="G246" s="97">
        <v>303</v>
      </c>
      <c r="H246" s="97">
        <v>166</v>
      </c>
      <c r="I246" s="98"/>
      <c r="J246" s="10">
        <f t="shared" si="9"/>
        <v>1.8359999999999999</v>
      </c>
      <c r="K246" s="11">
        <v>6</v>
      </c>
      <c r="L246" s="12">
        <f t="shared" si="10"/>
        <v>0.30599999999999999</v>
      </c>
      <c r="M246" s="13">
        <f t="shared" si="11"/>
        <v>306</v>
      </c>
      <c r="N246" s="15"/>
    </row>
    <row r="247" spans="1:14" s="5" customFormat="1" ht="12">
      <c r="A247" s="40" t="s">
        <v>180</v>
      </c>
      <c r="B247" s="40" t="s">
        <v>181</v>
      </c>
      <c r="C247" s="97">
        <v>326</v>
      </c>
      <c r="D247" s="97">
        <v>318</v>
      </c>
      <c r="E247" s="97">
        <v>207</v>
      </c>
      <c r="F247" s="97">
        <v>79</v>
      </c>
      <c r="G247" s="97">
        <v>299</v>
      </c>
      <c r="H247" s="97">
        <v>168</v>
      </c>
      <c r="I247" s="98"/>
      <c r="J247" s="10">
        <f t="shared" si="9"/>
        <v>1.956</v>
      </c>
      <c r="K247" s="11">
        <v>6</v>
      </c>
      <c r="L247" s="12">
        <f t="shared" si="10"/>
        <v>0.32600000000000001</v>
      </c>
      <c r="M247" s="13">
        <f t="shared" si="11"/>
        <v>326</v>
      </c>
      <c r="N247" s="15"/>
    </row>
    <row r="248" spans="1:14" s="5" customFormat="1" ht="12">
      <c r="A248" s="40" t="s">
        <v>180</v>
      </c>
      <c r="B248" s="40" t="s">
        <v>340</v>
      </c>
      <c r="C248" s="97">
        <v>1143</v>
      </c>
      <c r="D248" s="97">
        <v>1121</v>
      </c>
      <c r="E248" s="97">
        <v>900</v>
      </c>
      <c r="F248" s="97">
        <v>284</v>
      </c>
      <c r="G248" s="97">
        <v>1101</v>
      </c>
      <c r="H248" s="97">
        <v>586</v>
      </c>
      <c r="I248" s="98"/>
      <c r="J248" s="10">
        <f t="shared" si="9"/>
        <v>6.8580000000000005</v>
      </c>
      <c r="K248" s="11">
        <v>6</v>
      </c>
      <c r="L248" s="12">
        <f t="shared" si="10"/>
        <v>1.143</v>
      </c>
      <c r="M248" s="13">
        <f t="shared" si="11"/>
        <v>1143</v>
      </c>
      <c r="N248" s="15"/>
    </row>
    <row r="249" spans="1:14" s="5" customFormat="1" ht="12">
      <c r="A249" s="40" t="s">
        <v>180</v>
      </c>
      <c r="B249" s="40" t="s">
        <v>371</v>
      </c>
      <c r="C249" s="97">
        <v>1152</v>
      </c>
      <c r="D249" s="97">
        <v>1137</v>
      </c>
      <c r="E249" s="97">
        <v>913</v>
      </c>
      <c r="F249" s="97">
        <v>256</v>
      </c>
      <c r="G249" s="97">
        <v>1115</v>
      </c>
      <c r="H249" s="97">
        <v>545</v>
      </c>
      <c r="I249" s="98"/>
      <c r="J249" s="10">
        <f t="shared" si="9"/>
        <v>6.911999999999999</v>
      </c>
      <c r="K249" s="11">
        <v>6</v>
      </c>
      <c r="L249" s="12">
        <f t="shared" si="10"/>
        <v>1.1519999999999999</v>
      </c>
      <c r="M249" s="13">
        <f t="shared" si="11"/>
        <v>1152</v>
      </c>
      <c r="N249" s="15"/>
    </row>
    <row r="250" spans="1:14" s="5" customFormat="1" ht="12">
      <c r="A250" s="40" t="s">
        <v>180</v>
      </c>
      <c r="B250" s="40" t="s">
        <v>472</v>
      </c>
      <c r="C250" s="97">
        <v>547</v>
      </c>
      <c r="D250" s="97">
        <v>542</v>
      </c>
      <c r="E250" s="97">
        <v>406</v>
      </c>
      <c r="F250" s="97">
        <v>71</v>
      </c>
      <c r="G250" s="97">
        <v>537</v>
      </c>
      <c r="H250" s="97">
        <v>217</v>
      </c>
      <c r="I250" s="98"/>
      <c r="J250" s="10">
        <f t="shared" si="9"/>
        <v>3.282</v>
      </c>
      <c r="K250" s="11">
        <v>6</v>
      </c>
      <c r="L250" s="12">
        <f t="shared" si="10"/>
        <v>0.54700000000000004</v>
      </c>
      <c r="M250" s="13">
        <f t="shared" si="11"/>
        <v>547</v>
      </c>
      <c r="N250" s="15"/>
    </row>
    <row r="251" spans="1:14" s="5" customFormat="1" ht="12">
      <c r="A251" s="40" t="s">
        <v>180</v>
      </c>
      <c r="B251" s="40" t="s">
        <v>576</v>
      </c>
      <c r="C251" s="97">
        <v>318</v>
      </c>
      <c r="D251" s="97">
        <v>314</v>
      </c>
      <c r="E251" s="97">
        <v>228</v>
      </c>
      <c r="F251" s="97">
        <v>55</v>
      </c>
      <c r="G251" s="97">
        <v>307</v>
      </c>
      <c r="H251" s="97">
        <v>143</v>
      </c>
      <c r="I251" s="98"/>
      <c r="J251" s="10">
        <f t="shared" si="9"/>
        <v>1.9079999999999999</v>
      </c>
      <c r="K251" s="11">
        <v>6</v>
      </c>
      <c r="L251" s="12">
        <f t="shared" si="10"/>
        <v>0.318</v>
      </c>
      <c r="M251" s="13">
        <f t="shared" si="11"/>
        <v>318</v>
      </c>
      <c r="N251" s="15"/>
    </row>
    <row r="252" spans="1:14" s="5" customFormat="1" ht="12">
      <c r="A252" s="40" t="s">
        <v>180</v>
      </c>
      <c r="B252" s="40" t="s">
        <v>638</v>
      </c>
      <c r="C252" s="97">
        <v>381</v>
      </c>
      <c r="D252" s="97">
        <v>361</v>
      </c>
      <c r="E252" s="97">
        <v>295</v>
      </c>
      <c r="F252" s="97">
        <v>99</v>
      </c>
      <c r="G252" s="97">
        <v>367</v>
      </c>
      <c r="H252" s="97">
        <v>213</v>
      </c>
      <c r="I252" s="98"/>
      <c r="J252" s="10">
        <f t="shared" si="9"/>
        <v>2.286</v>
      </c>
      <c r="K252" s="11">
        <v>6</v>
      </c>
      <c r="L252" s="12">
        <f t="shared" si="10"/>
        <v>0.38100000000000001</v>
      </c>
      <c r="M252" s="13">
        <f t="shared" si="11"/>
        <v>381</v>
      </c>
      <c r="N252" s="15"/>
    </row>
    <row r="253" spans="1:14" s="5" customFormat="1" ht="12">
      <c r="A253" s="40" t="s">
        <v>180</v>
      </c>
      <c r="B253" s="40" t="s">
        <v>1110</v>
      </c>
      <c r="C253" s="97">
        <v>1053</v>
      </c>
      <c r="D253" s="97">
        <v>1037</v>
      </c>
      <c r="E253" s="97">
        <v>804</v>
      </c>
      <c r="F253" s="97">
        <v>231</v>
      </c>
      <c r="G253" s="97">
        <v>1021</v>
      </c>
      <c r="H253" s="97">
        <v>504</v>
      </c>
      <c r="I253" s="98"/>
      <c r="J253" s="10">
        <f t="shared" si="9"/>
        <v>6.3179999999999996</v>
      </c>
      <c r="K253" s="11">
        <v>6</v>
      </c>
      <c r="L253" s="12">
        <f t="shared" si="10"/>
        <v>1.0529999999999999</v>
      </c>
      <c r="M253" s="13">
        <f t="shared" si="11"/>
        <v>1053</v>
      </c>
      <c r="N253" s="15"/>
    </row>
    <row r="254" spans="1:14" s="5" customFormat="1" ht="12">
      <c r="A254" s="40" t="s">
        <v>180</v>
      </c>
      <c r="B254" s="40" t="s">
        <v>1413</v>
      </c>
      <c r="C254" s="97">
        <v>355</v>
      </c>
      <c r="D254" s="97">
        <v>346</v>
      </c>
      <c r="E254" s="97">
        <v>257</v>
      </c>
      <c r="F254" s="97">
        <v>90</v>
      </c>
      <c r="G254" s="97">
        <v>339</v>
      </c>
      <c r="H254" s="97">
        <v>193</v>
      </c>
      <c r="I254" s="98"/>
      <c r="J254" s="10">
        <f t="shared" si="9"/>
        <v>2.13</v>
      </c>
      <c r="K254" s="11">
        <v>6</v>
      </c>
      <c r="L254" s="12">
        <f t="shared" si="10"/>
        <v>0.35499999999999998</v>
      </c>
      <c r="M254" s="13">
        <f t="shared" si="11"/>
        <v>355</v>
      </c>
      <c r="N254" s="15"/>
    </row>
    <row r="255" spans="1:14" s="5" customFormat="1" ht="12">
      <c r="A255" s="40" t="s">
        <v>180</v>
      </c>
      <c r="B255" s="40" t="s">
        <v>1619</v>
      </c>
      <c r="C255" s="97">
        <v>322</v>
      </c>
      <c r="D255" s="97">
        <v>315</v>
      </c>
      <c r="E255" s="97">
        <v>229</v>
      </c>
      <c r="F255" s="97">
        <v>59</v>
      </c>
      <c r="G255" s="97">
        <v>317</v>
      </c>
      <c r="H255" s="97">
        <v>162</v>
      </c>
      <c r="I255" s="98"/>
      <c r="J255" s="10">
        <f t="shared" si="9"/>
        <v>1.9319999999999999</v>
      </c>
      <c r="K255" s="11">
        <v>6</v>
      </c>
      <c r="L255" s="12">
        <f t="shared" si="10"/>
        <v>0.32200000000000001</v>
      </c>
      <c r="M255" s="13">
        <f t="shared" si="11"/>
        <v>322</v>
      </c>
      <c r="N255" s="15"/>
    </row>
    <row r="256" spans="1:14" s="5" customFormat="1" ht="12">
      <c r="A256" s="40" t="s">
        <v>180</v>
      </c>
      <c r="B256" s="40" t="s">
        <v>1706</v>
      </c>
      <c r="C256" s="97">
        <v>391</v>
      </c>
      <c r="D256" s="97">
        <v>387</v>
      </c>
      <c r="E256" s="97">
        <v>310</v>
      </c>
      <c r="F256" s="97">
        <v>101</v>
      </c>
      <c r="G256" s="97">
        <v>381</v>
      </c>
      <c r="H256" s="97">
        <v>187</v>
      </c>
      <c r="I256" s="98"/>
      <c r="J256" s="10">
        <f t="shared" ref="J256:J312" si="12">+K256*L256</f>
        <v>2.3460000000000001</v>
      </c>
      <c r="K256" s="11">
        <v>6</v>
      </c>
      <c r="L256" s="12">
        <f t="shared" ref="L256:L312" si="13">+M256/1000</f>
        <v>0.39100000000000001</v>
      </c>
      <c r="M256" s="13">
        <f t="shared" ref="M256:M312" si="14">+C256</f>
        <v>391</v>
      </c>
      <c r="N256" s="15"/>
    </row>
    <row r="257" spans="1:14" s="5" customFormat="1" ht="12">
      <c r="A257" s="40" t="s">
        <v>180</v>
      </c>
      <c r="B257" s="40" t="s">
        <v>1844</v>
      </c>
      <c r="C257" s="97">
        <v>471</v>
      </c>
      <c r="D257" s="97">
        <v>457</v>
      </c>
      <c r="E257" s="97">
        <v>362</v>
      </c>
      <c r="F257" s="97">
        <v>123</v>
      </c>
      <c r="G257" s="97">
        <v>460</v>
      </c>
      <c r="H257" s="97">
        <v>252</v>
      </c>
      <c r="I257" s="98"/>
      <c r="J257" s="10">
        <f t="shared" si="12"/>
        <v>2.8259999999999996</v>
      </c>
      <c r="K257" s="11">
        <v>6</v>
      </c>
      <c r="L257" s="12">
        <f t="shared" si="13"/>
        <v>0.47099999999999997</v>
      </c>
      <c r="M257" s="13">
        <f t="shared" si="14"/>
        <v>471</v>
      </c>
      <c r="N257" s="15"/>
    </row>
    <row r="258" spans="1:14" s="5" customFormat="1" ht="12">
      <c r="A258" s="40" t="s">
        <v>180</v>
      </c>
      <c r="B258" s="40" t="s">
        <v>1879</v>
      </c>
      <c r="C258" s="97">
        <v>411</v>
      </c>
      <c r="D258" s="97">
        <v>403</v>
      </c>
      <c r="E258" s="97">
        <v>322</v>
      </c>
      <c r="F258" s="97">
        <v>56</v>
      </c>
      <c r="G258" s="97">
        <v>402</v>
      </c>
      <c r="H258" s="97">
        <v>170</v>
      </c>
      <c r="I258" s="98"/>
      <c r="J258" s="10">
        <f t="shared" si="12"/>
        <v>2.4659999999999997</v>
      </c>
      <c r="K258" s="11">
        <v>6</v>
      </c>
      <c r="L258" s="12">
        <f t="shared" si="13"/>
        <v>0.41099999999999998</v>
      </c>
      <c r="M258" s="13">
        <f t="shared" si="14"/>
        <v>411</v>
      </c>
      <c r="N258" s="15"/>
    </row>
    <row r="259" spans="1:14" s="5" customFormat="1" ht="12">
      <c r="A259" s="40" t="s">
        <v>180</v>
      </c>
      <c r="B259" s="40" t="s">
        <v>1882</v>
      </c>
      <c r="C259" s="97">
        <v>303</v>
      </c>
      <c r="D259" s="97">
        <v>295</v>
      </c>
      <c r="E259" s="97">
        <v>193</v>
      </c>
      <c r="F259" s="97">
        <v>62</v>
      </c>
      <c r="G259" s="97">
        <v>297</v>
      </c>
      <c r="H259" s="97">
        <v>135</v>
      </c>
      <c r="I259" s="98"/>
      <c r="J259" s="10">
        <f t="shared" si="12"/>
        <v>1.8180000000000001</v>
      </c>
      <c r="K259" s="11">
        <v>6</v>
      </c>
      <c r="L259" s="12">
        <f t="shared" si="13"/>
        <v>0.30299999999999999</v>
      </c>
      <c r="M259" s="13">
        <f t="shared" si="14"/>
        <v>303</v>
      </c>
      <c r="N259" s="15"/>
    </row>
    <row r="260" spans="1:14" s="5" customFormat="1" ht="12">
      <c r="A260" s="40" t="s">
        <v>1955</v>
      </c>
      <c r="B260" s="40" t="s">
        <v>97</v>
      </c>
      <c r="C260" s="97">
        <v>493</v>
      </c>
      <c r="D260" s="97">
        <v>486</v>
      </c>
      <c r="E260" s="97">
        <v>390</v>
      </c>
      <c r="F260" s="97">
        <v>157</v>
      </c>
      <c r="G260" s="97">
        <v>482</v>
      </c>
      <c r="H260" s="97">
        <v>280</v>
      </c>
      <c r="I260" s="98"/>
      <c r="J260" s="10">
        <f t="shared" si="12"/>
        <v>2.9580000000000002</v>
      </c>
      <c r="K260" s="11">
        <v>6</v>
      </c>
      <c r="L260" s="12">
        <f t="shared" si="13"/>
        <v>0.49299999999999999</v>
      </c>
      <c r="M260" s="13">
        <f t="shared" si="14"/>
        <v>493</v>
      </c>
      <c r="N260" s="15"/>
    </row>
    <row r="261" spans="1:14" s="5" customFormat="1" ht="12">
      <c r="A261" s="40" t="s">
        <v>1955</v>
      </c>
      <c r="B261" s="40" t="s">
        <v>162</v>
      </c>
      <c r="C261" s="97">
        <v>612</v>
      </c>
      <c r="D261" s="97">
        <v>582</v>
      </c>
      <c r="E261" s="97">
        <v>499</v>
      </c>
      <c r="F261" s="97">
        <v>171</v>
      </c>
      <c r="G261" s="97">
        <v>594</v>
      </c>
      <c r="H261" s="97">
        <v>320</v>
      </c>
      <c r="I261" s="98"/>
      <c r="J261" s="10">
        <f t="shared" si="12"/>
        <v>3.6719999999999997</v>
      </c>
      <c r="K261" s="11">
        <v>6</v>
      </c>
      <c r="L261" s="12">
        <f t="shared" si="13"/>
        <v>0.61199999999999999</v>
      </c>
      <c r="M261" s="13">
        <f t="shared" si="14"/>
        <v>612</v>
      </c>
      <c r="N261" s="15"/>
    </row>
    <row r="262" spans="1:14" s="5" customFormat="1" ht="12">
      <c r="A262" s="40" t="s">
        <v>1955</v>
      </c>
      <c r="B262" s="40" t="s">
        <v>213</v>
      </c>
      <c r="C262" s="97">
        <v>447</v>
      </c>
      <c r="D262" s="97">
        <v>429</v>
      </c>
      <c r="E262" s="97">
        <v>329</v>
      </c>
      <c r="F262" s="97">
        <v>100</v>
      </c>
      <c r="G262" s="97">
        <v>428</v>
      </c>
      <c r="H262" s="97">
        <v>254</v>
      </c>
      <c r="I262" s="98"/>
      <c r="J262" s="10">
        <f t="shared" si="12"/>
        <v>2.6819999999999999</v>
      </c>
      <c r="K262" s="11">
        <v>6</v>
      </c>
      <c r="L262" s="12">
        <f t="shared" si="13"/>
        <v>0.44700000000000001</v>
      </c>
      <c r="M262" s="13">
        <f t="shared" si="14"/>
        <v>447</v>
      </c>
      <c r="N262" s="15"/>
    </row>
    <row r="263" spans="1:14" s="5" customFormat="1" ht="12">
      <c r="A263" s="40" t="s">
        <v>1955</v>
      </c>
      <c r="B263" s="40" t="s">
        <v>241</v>
      </c>
      <c r="C263" s="97">
        <v>337</v>
      </c>
      <c r="D263" s="97">
        <v>330</v>
      </c>
      <c r="E263" s="97">
        <v>257</v>
      </c>
      <c r="F263" s="97">
        <v>79</v>
      </c>
      <c r="G263" s="97">
        <v>318</v>
      </c>
      <c r="H263" s="97">
        <v>184</v>
      </c>
      <c r="I263" s="98"/>
      <c r="J263" s="10">
        <f t="shared" si="12"/>
        <v>2.0220000000000002</v>
      </c>
      <c r="K263" s="11">
        <v>6</v>
      </c>
      <c r="L263" s="12">
        <f t="shared" si="13"/>
        <v>0.33700000000000002</v>
      </c>
      <c r="M263" s="13">
        <f t="shared" si="14"/>
        <v>337</v>
      </c>
      <c r="N263" s="15"/>
    </row>
    <row r="264" spans="1:14" s="5" customFormat="1" ht="12">
      <c r="A264" s="40" t="s">
        <v>1955</v>
      </c>
      <c r="B264" s="40" t="s">
        <v>362</v>
      </c>
      <c r="C264" s="97">
        <v>315</v>
      </c>
      <c r="D264" s="97">
        <v>307</v>
      </c>
      <c r="E264" s="97">
        <v>233</v>
      </c>
      <c r="F264" s="97">
        <v>62</v>
      </c>
      <c r="G264" s="97">
        <v>304</v>
      </c>
      <c r="H264" s="97">
        <v>150</v>
      </c>
      <c r="I264" s="98"/>
      <c r="J264" s="10">
        <f t="shared" si="12"/>
        <v>1.8900000000000001</v>
      </c>
      <c r="K264" s="11">
        <v>6</v>
      </c>
      <c r="L264" s="12">
        <f t="shared" si="13"/>
        <v>0.315</v>
      </c>
      <c r="M264" s="13">
        <f t="shared" si="14"/>
        <v>315</v>
      </c>
      <c r="N264" s="15"/>
    </row>
    <row r="265" spans="1:14" s="5" customFormat="1" ht="12">
      <c r="A265" s="40" t="s">
        <v>1955</v>
      </c>
      <c r="B265" s="40" t="s">
        <v>404</v>
      </c>
      <c r="C265" s="97">
        <v>611</v>
      </c>
      <c r="D265" s="97">
        <v>577</v>
      </c>
      <c r="E265" s="97">
        <v>443</v>
      </c>
      <c r="F265" s="97">
        <v>224</v>
      </c>
      <c r="G265" s="97">
        <v>593</v>
      </c>
      <c r="H265" s="97">
        <v>413</v>
      </c>
      <c r="I265" s="98"/>
      <c r="J265" s="10">
        <f t="shared" si="12"/>
        <v>3.6659999999999999</v>
      </c>
      <c r="K265" s="11">
        <v>6</v>
      </c>
      <c r="L265" s="12">
        <f t="shared" si="13"/>
        <v>0.61099999999999999</v>
      </c>
      <c r="M265" s="13">
        <f t="shared" si="14"/>
        <v>611</v>
      </c>
      <c r="N265" s="15"/>
    </row>
    <row r="266" spans="1:14" s="5" customFormat="1" ht="12">
      <c r="A266" s="40" t="s">
        <v>1955</v>
      </c>
      <c r="B266" s="40" t="s">
        <v>471</v>
      </c>
      <c r="C266" s="97">
        <v>403</v>
      </c>
      <c r="D266" s="97">
        <v>388</v>
      </c>
      <c r="E266" s="97">
        <v>319</v>
      </c>
      <c r="F266" s="97">
        <v>89</v>
      </c>
      <c r="G266" s="97">
        <v>396</v>
      </c>
      <c r="H266" s="97">
        <v>208</v>
      </c>
      <c r="I266" s="98"/>
      <c r="J266" s="10">
        <f t="shared" si="12"/>
        <v>2.4180000000000001</v>
      </c>
      <c r="K266" s="11">
        <v>6</v>
      </c>
      <c r="L266" s="12">
        <f t="shared" si="13"/>
        <v>0.40300000000000002</v>
      </c>
      <c r="M266" s="13">
        <f t="shared" si="14"/>
        <v>403</v>
      </c>
      <c r="N266" s="15"/>
    </row>
    <row r="267" spans="1:14" s="5" customFormat="1" ht="12">
      <c r="A267" s="40" t="s">
        <v>1955</v>
      </c>
      <c r="B267" s="40" t="s">
        <v>708</v>
      </c>
      <c r="C267" s="97">
        <v>1008</v>
      </c>
      <c r="D267" s="97">
        <v>985</v>
      </c>
      <c r="E267" s="97">
        <v>834</v>
      </c>
      <c r="F267" s="97">
        <v>266</v>
      </c>
      <c r="G267" s="97">
        <v>985</v>
      </c>
      <c r="H267" s="97">
        <v>594</v>
      </c>
      <c r="I267" s="98"/>
      <c r="J267" s="10">
        <f t="shared" si="12"/>
        <v>6.048</v>
      </c>
      <c r="K267" s="11">
        <v>6</v>
      </c>
      <c r="L267" s="12">
        <f t="shared" si="13"/>
        <v>1.008</v>
      </c>
      <c r="M267" s="13">
        <f t="shared" si="14"/>
        <v>1008</v>
      </c>
      <c r="N267" s="15"/>
    </row>
    <row r="268" spans="1:14" s="5" customFormat="1" ht="12">
      <c r="A268" s="40" t="s">
        <v>1955</v>
      </c>
      <c r="B268" s="40" t="s">
        <v>736</v>
      </c>
      <c r="C268" s="97">
        <v>781</v>
      </c>
      <c r="D268" s="97">
        <v>763</v>
      </c>
      <c r="E268" s="97">
        <v>617</v>
      </c>
      <c r="F268" s="97">
        <v>190</v>
      </c>
      <c r="G268" s="97">
        <v>771</v>
      </c>
      <c r="H268" s="97">
        <v>396</v>
      </c>
      <c r="I268" s="98"/>
      <c r="J268" s="10">
        <f t="shared" si="12"/>
        <v>4.6859999999999999</v>
      </c>
      <c r="K268" s="11">
        <v>6</v>
      </c>
      <c r="L268" s="12">
        <f t="shared" si="13"/>
        <v>0.78100000000000003</v>
      </c>
      <c r="M268" s="13">
        <f t="shared" si="14"/>
        <v>781</v>
      </c>
      <c r="N268" s="15"/>
    </row>
    <row r="269" spans="1:14" s="5" customFormat="1" ht="12">
      <c r="A269" s="40" t="s">
        <v>1955</v>
      </c>
      <c r="B269" s="40" t="s">
        <v>905</v>
      </c>
      <c r="C269" s="97">
        <v>310</v>
      </c>
      <c r="D269" s="97">
        <v>299</v>
      </c>
      <c r="E269" s="97">
        <v>233</v>
      </c>
      <c r="F269" s="97">
        <v>91</v>
      </c>
      <c r="G269" s="97">
        <v>300</v>
      </c>
      <c r="H269" s="97">
        <v>171</v>
      </c>
      <c r="I269" s="98"/>
      <c r="J269" s="10">
        <f t="shared" si="12"/>
        <v>1.8599999999999999</v>
      </c>
      <c r="K269" s="11">
        <v>6</v>
      </c>
      <c r="L269" s="12">
        <f t="shared" si="13"/>
        <v>0.31</v>
      </c>
      <c r="M269" s="13">
        <f t="shared" si="14"/>
        <v>310</v>
      </c>
      <c r="N269" s="15"/>
    </row>
    <row r="270" spans="1:14" s="5" customFormat="1" ht="12">
      <c r="A270" s="40" t="s">
        <v>1955</v>
      </c>
      <c r="B270" s="40" t="s">
        <v>1033</v>
      </c>
      <c r="C270" s="97">
        <v>359</v>
      </c>
      <c r="D270" s="97">
        <v>346</v>
      </c>
      <c r="E270" s="97">
        <v>283</v>
      </c>
      <c r="F270" s="97">
        <v>93</v>
      </c>
      <c r="G270" s="97">
        <v>350</v>
      </c>
      <c r="H270" s="97">
        <v>201</v>
      </c>
      <c r="I270" s="98"/>
      <c r="J270" s="10">
        <f t="shared" si="12"/>
        <v>2.1539999999999999</v>
      </c>
      <c r="K270" s="11">
        <v>6</v>
      </c>
      <c r="L270" s="12">
        <f t="shared" si="13"/>
        <v>0.35899999999999999</v>
      </c>
      <c r="M270" s="13">
        <f t="shared" si="14"/>
        <v>359</v>
      </c>
      <c r="N270" s="15"/>
    </row>
    <row r="271" spans="1:14" s="5" customFormat="1" ht="12">
      <c r="A271" s="40" t="s">
        <v>1955</v>
      </c>
      <c r="B271" s="40" t="s">
        <v>1160</v>
      </c>
      <c r="C271" s="97">
        <v>329</v>
      </c>
      <c r="D271" s="97">
        <v>317</v>
      </c>
      <c r="E271" s="97">
        <v>266</v>
      </c>
      <c r="F271" s="97">
        <v>69</v>
      </c>
      <c r="G271" s="97">
        <v>325</v>
      </c>
      <c r="H271" s="97">
        <v>190</v>
      </c>
      <c r="I271" s="98"/>
      <c r="J271" s="10">
        <f t="shared" si="12"/>
        <v>1.9740000000000002</v>
      </c>
      <c r="K271" s="11">
        <v>6</v>
      </c>
      <c r="L271" s="12">
        <f t="shared" si="13"/>
        <v>0.32900000000000001</v>
      </c>
      <c r="M271" s="13">
        <f t="shared" si="14"/>
        <v>329</v>
      </c>
      <c r="N271" s="15"/>
    </row>
    <row r="272" spans="1:14" s="5" customFormat="1" ht="12">
      <c r="A272" s="40" t="s">
        <v>1955</v>
      </c>
      <c r="B272" s="40" t="s">
        <v>1210</v>
      </c>
      <c r="C272" s="97">
        <v>548</v>
      </c>
      <c r="D272" s="97">
        <v>540</v>
      </c>
      <c r="E272" s="97">
        <v>438</v>
      </c>
      <c r="F272" s="97">
        <v>140</v>
      </c>
      <c r="G272" s="97">
        <v>541</v>
      </c>
      <c r="H272" s="97">
        <v>311</v>
      </c>
      <c r="I272" s="98"/>
      <c r="J272" s="10">
        <f t="shared" si="12"/>
        <v>3.2880000000000003</v>
      </c>
      <c r="K272" s="11">
        <v>6</v>
      </c>
      <c r="L272" s="12">
        <f t="shared" si="13"/>
        <v>0.54800000000000004</v>
      </c>
      <c r="M272" s="13">
        <f t="shared" si="14"/>
        <v>548</v>
      </c>
      <c r="N272" s="15"/>
    </row>
    <row r="273" spans="1:16" s="5" customFormat="1" ht="12">
      <c r="A273" s="40" t="s">
        <v>1955</v>
      </c>
      <c r="B273" s="40" t="s">
        <v>1753</v>
      </c>
      <c r="C273" s="97">
        <v>366</v>
      </c>
      <c r="D273" s="97">
        <v>358</v>
      </c>
      <c r="E273" s="97">
        <v>303</v>
      </c>
      <c r="F273" s="97">
        <v>98</v>
      </c>
      <c r="G273" s="97">
        <v>358</v>
      </c>
      <c r="H273" s="97">
        <v>214</v>
      </c>
      <c r="I273" s="98"/>
      <c r="J273" s="10">
        <f t="shared" si="12"/>
        <v>2.1959999999999997</v>
      </c>
      <c r="K273" s="11">
        <v>6</v>
      </c>
      <c r="L273" s="12">
        <f t="shared" si="13"/>
        <v>0.36599999999999999</v>
      </c>
      <c r="M273" s="13">
        <f t="shared" si="14"/>
        <v>366</v>
      </c>
      <c r="N273" s="15"/>
    </row>
    <row r="274" spans="1:16" s="5" customFormat="1" ht="12">
      <c r="A274" s="40" t="s">
        <v>1955</v>
      </c>
      <c r="B274" s="40" t="s">
        <v>1800</v>
      </c>
      <c r="C274" s="97">
        <v>462</v>
      </c>
      <c r="D274" s="97">
        <v>450</v>
      </c>
      <c r="E274" s="97">
        <v>390</v>
      </c>
      <c r="F274" s="97">
        <v>159</v>
      </c>
      <c r="G274" s="97">
        <v>454</v>
      </c>
      <c r="H274" s="97">
        <v>297</v>
      </c>
      <c r="I274" s="98"/>
      <c r="J274" s="10">
        <f t="shared" si="12"/>
        <v>2.7720000000000002</v>
      </c>
      <c r="K274" s="11">
        <v>6</v>
      </c>
      <c r="L274" s="12">
        <f t="shared" si="13"/>
        <v>0.46200000000000002</v>
      </c>
      <c r="M274" s="13">
        <f t="shared" si="14"/>
        <v>462</v>
      </c>
      <c r="N274" s="15"/>
    </row>
    <row r="275" spans="1:16" s="5" customFormat="1" ht="12">
      <c r="A275" s="40" t="s">
        <v>1955</v>
      </c>
      <c r="B275" s="40" t="s">
        <v>1818</v>
      </c>
      <c r="C275" s="97">
        <v>636</v>
      </c>
      <c r="D275" s="97">
        <v>626</v>
      </c>
      <c r="E275" s="97">
        <v>517</v>
      </c>
      <c r="F275" s="97">
        <v>142</v>
      </c>
      <c r="G275" s="97">
        <v>620</v>
      </c>
      <c r="H275" s="97">
        <v>356</v>
      </c>
      <c r="I275" s="98"/>
      <c r="J275" s="10">
        <f t="shared" si="12"/>
        <v>3.8159999999999998</v>
      </c>
      <c r="K275" s="11">
        <v>6</v>
      </c>
      <c r="L275" s="12">
        <f t="shared" si="13"/>
        <v>0.63600000000000001</v>
      </c>
      <c r="M275" s="13">
        <f t="shared" si="14"/>
        <v>636</v>
      </c>
      <c r="N275" s="15"/>
    </row>
    <row r="276" spans="1:16" s="5" customFormat="1" ht="12">
      <c r="A276" s="40" t="s">
        <v>1955</v>
      </c>
      <c r="B276" s="40" t="s">
        <v>1956</v>
      </c>
      <c r="C276" s="97">
        <v>865</v>
      </c>
      <c r="D276" s="97">
        <v>849</v>
      </c>
      <c r="E276" s="97">
        <v>680</v>
      </c>
      <c r="F276" s="97">
        <v>242</v>
      </c>
      <c r="G276" s="97">
        <v>842</v>
      </c>
      <c r="H276" s="97">
        <v>510</v>
      </c>
      <c r="I276" s="98"/>
      <c r="J276" s="10">
        <f t="shared" si="12"/>
        <v>5.1899999999999995</v>
      </c>
      <c r="K276" s="11">
        <v>6</v>
      </c>
      <c r="L276" s="12">
        <f t="shared" si="13"/>
        <v>0.86499999999999999</v>
      </c>
      <c r="M276" s="13">
        <f t="shared" si="14"/>
        <v>865</v>
      </c>
      <c r="N276" s="15"/>
    </row>
    <row r="277" spans="1:16" s="5" customFormat="1" ht="12">
      <c r="A277" s="40" t="s">
        <v>559</v>
      </c>
      <c r="B277" s="40" t="s">
        <v>560</v>
      </c>
      <c r="C277" s="97">
        <v>782</v>
      </c>
      <c r="D277" s="97">
        <v>772</v>
      </c>
      <c r="E277" s="97">
        <v>619</v>
      </c>
      <c r="F277" s="97">
        <v>189</v>
      </c>
      <c r="G277" s="97">
        <v>762</v>
      </c>
      <c r="H277" s="97">
        <v>433</v>
      </c>
      <c r="I277" s="98"/>
      <c r="J277" s="10">
        <f t="shared" si="12"/>
        <v>4.6920000000000002</v>
      </c>
      <c r="K277" s="11">
        <v>6</v>
      </c>
      <c r="L277" s="12">
        <f t="shared" si="13"/>
        <v>0.78200000000000003</v>
      </c>
      <c r="M277" s="13">
        <f t="shared" si="14"/>
        <v>782</v>
      </c>
      <c r="N277" s="15"/>
    </row>
    <row r="278" spans="1:16" s="5" customFormat="1" ht="12">
      <c r="A278" s="40" t="s">
        <v>559</v>
      </c>
      <c r="B278" s="40" t="s">
        <v>802</v>
      </c>
      <c r="C278" s="97">
        <v>351</v>
      </c>
      <c r="D278" s="97">
        <v>332</v>
      </c>
      <c r="E278" s="97">
        <v>210</v>
      </c>
      <c r="F278" s="97">
        <v>62</v>
      </c>
      <c r="G278" s="97">
        <v>335</v>
      </c>
      <c r="H278" s="97">
        <v>148</v>
      </c>
      <c r="I278" s="98"/>
      <c r="J278" s="10">
        <f t="shared" si="12"/>
        <v>2.1059999999999999</v>
      </c>
      <c r="K278" s="11">
        <v>6</v>
      </c>
      <c r="L278" s="12">
        <f t="shared" si="13"/>
        <v>0.35099999999999998</v>
      </c>
      <c r="M278" s="13">
        <f t="shared" si="14"/>
        <v>351</v>
      </c>
      <c r="N278" s="15"/>
    </row>
    <row r="279" spans="1:16" s="5" customFormat="1" ht="12">
      <c r="A279" s="40" t="s">
        <v>559</v>
      </c>
      <c r="B279" s="40" t="s">
        <v>960</v>
      </c>
      <c r="C279" s="97">
        <v>338</v>
      </c>
      <c r="D279" s="97">
        <v>332</v>
      </c>
      <c r="E279" s="97">
        <v>266</v>
      </c>
      <c r="F279" s="97">
        <v>75</v>
      </c>
      <c r="G279" s="97">
        <v>338</v>
      </c>
      <c r="H279" s="97">
        <v>188</v>
      </c>
      <c r="I279" s="98"/>
      <c r="J279" s="10">
        <f t="shared" si="12"/>
        <v>2.028</v>
      </c>
      <c r="K279" s="11">
        <v>6</v>
      </c>
      <c r="L279" s="12">
        <f t="shared" si="13"/>
        <v>0.33800000000000002</v>
      </c>
      <c r="M279" s="13">
        <f t="shared" si="14"/>
        <v>338</v>
      </c>
      <c r="N279" s="15"/>
    </row>
    <row r="280" spans="1:16" s="5" customFormat="1" ht="12">
      <c r="A280" s="40" t="s">
        <v>559</v>
      </c>
      <c r="B280" s="40" t="s">
        <v>1276</v>
      </c>
      <c r="C280" s="97">
        <v>702</v>
      </c>
      <c r="D280" s="97">
        <v>696</v>
      </c>
      <c r="E280" s="97">
        <v>559</v>
      </c>
      <c r="F280" s="97">
        <v>178</v>
      </c>
      <c r="G280" s="97">
        <v>687</v>
      </c>
      <c r="H280" s="97">
        <v>377</v>
      </c>
      <c r="I280" s="98"/>
      <c r="J280" s="10">
        <f t="shared" si="12"/>
        <v>4.2119999999999997</v>
      </c>
      <c r="K280" s="11">
        <v>6</v>
      </c>
      <c r="L280" s="12">
        <f t="shared" si="13"/>
        <v>0.70199999999999996</v>
      </c>
      <c r="M280" s="13">
        <f t="shared" si="14"/>
        <v>702</v>
      </c>
      <c r="N280" s="15"/>
    </row>
    <row r="281" spans="1:16" s="5" customFormat="1" ht="12">
      <c r="A281" s="65" t="s">
        <v>559</v>
      </c>
      <c r="B281" s="65" t="s">
        <v>1357</v>
      </c>
      <c r="C281" s="97">
        <v>1441</v>
      </c>
      <c r="D281" s="97">
        <v>1413</v>
      </c>
      <c r="E281" s="97">
        <v>1163</v>
      </c>
      <c r="F281" s="97">
        <v>352</v>
      </c>
      <c r="G281" s="97">
        <v>1398</v>
      </c>
      <c r="H281" s="97">
        <v>769</v>
      </c>
      <c r="I281" s="102"/>
      <c r="J281" s="10">
        <f t="shared" si="12"/>
        <v>8.6460000000000008</v>
      </c>
      <c r="K281" s="36">
        <v>6</v>
      </c>
      <c r="L281" s="37">
        <f t="shared" si="13"/>
        <v>1.4410000000000001</v>
      </c>
      <c r="M281" s="38">
        <f t="shared" si="14"/>
        <v>1441</v>
      </c>
      <c r="N281" s="35"/>
      <c r="O281" s="2"/>
      <c r="P281" s="2"/>
    </row>
    <row r="282" spans="1:16" s="5" customFormat="1" ht="12">
      <c r="A282" s="65" t="s">
        <v>559</v>
      </c>
      <c r="B282" s="65" t="s">
        <v>1593</v>
      </c>
      <c r="C282" s="97">
        <v>972</v>
      </c>
      <c r="D282" s="97">
        <v>958</v>
      </c>
      <c r="E282" s="97">
        <v>805</v>
      </c>
      <c r="F282" s="97">
        <v>251</v>
      </c>
      <c r="G282" s="97">
        <v>954</v>
      </c>
      <c r="H282" s="97">
        <v>529</v>
      </c>
      <c r="I282" s="102"/>
      <c r="J282" s="10">
        <f t="shared" si="12"/>
        <v>5.8319999999999999</v>
      </c>
      <c r="K282" s="36">
        <v>6</v>
      </c>
      <c r="L282" s="37">
        <f t="shared" si="13"/>
        <v>0.97199999999999998</v>
      </c>
      <c r="M282" s="38">
        <f t="shared" si="14"/>
        <v>972</v>
      </c>
      <c r="N282" s="35"/>
      <c r="O282" s="2"/>
      <c r="P282" s="2"/>
    </row>
    <row r="283" spans="1:16" s="5" customFormat="1" ht="12">
      <c r="A283" s="65" t="s">
        <v>559</v>
      </c>
      <c r="B283" s="65" t="s">
        <v>1726</v>
      </c>
      <c r="C283" s="97">
        <v>1068</v>
      </c>
      <c r="D283" s="97">
        <v>1050</v>
      </c>
      <c r="E283" s="97">
        <v>890</v>
      </c>
      <c r="F283" s="97">
        <v>278</v>
      </c>
      <c r="G283" s="97">
        <v>1042</v>
      </c>
      <c r="H283" s="97">
        <v>589</v>
      </c>
      <c r="I283" s="102"/>
      <c r="J283" s="10">
        <f t="shared" si="12"/>
        <v>6.4080000000000004</v>
      </c>
      <c r="K283" s="36">
        <v>6</v>
      </c>
      <c r="L283" s="37">
        <f t="shared" si="13"/>
        <v>1.0680000000000001</v>
      </c>
      <c r="M283" s="38">
        <f t="shared" si="14"/>
        <v>1068</v>
      </c>
      <c r="N283" s="35"/>
      <c r="O283" s="2"/>
      <c r="P283" s="2"/>
    </row>
    <row r="284" spans="1:16" s="5" customFormat="1" ht="12">
      <c r="A284" s="40" t="s">
        <v>559</v>
      </c>
      <c r="B284" s="40" t="s">
        <v>1869</v>
      </c>
      <c r="C284" s="97">
        <v>792</v>
      </c>
      <c r="D284" s="97">
        <v>780</v>
      </c>
      <c r="E284" s="97">
        <v>644</v>
      </c>
      <c r="F284" s="97">
        <v>201</v>
      </c>
      <c r="G284" s="97">
        <v>776</v>
      </c>
      <c r="H284" s="97">
        <v>423</v>
      </c>
      <c r="I284" s="98"/>
      <c r="J284" s="10">
        <f t="shared" si="12"/>
        <v>4.7520000000000007</v>
      </c>
      <c r="K284" s="11">
        <v>6</v>
      </c>
      <c r="L284" s="12">
        <f t="shared" si="13"/>
        <v>0.79200000000000004</v>
      </c>
      <c r="M284" s="13">
        <f t="shared" si="14"/>
        <v>792</v>
      </c>
      <c r="N284" s="15"/>
    </row>
    <row r="285" spans="1:16" s="5" customFormat="1" ht="12">
      <c r="A285" s="65" t="s">
        <v>114</v>
      </c>
      <c r="B285" s="65" t="s">
        <v>1554</v>
      </c>
      <c r="C285" s="38">
        <v>4504</v>
      </c>
      <c r="D285" s="38">
        <v>4436</v>
      </c>
      <c r="E285" s="38">
        <v>3913</v>
      </c>
      <c r="F285" s="38">
        <v>1605</v>
      </c>
      <c r="G285" s="38">
        <v>4435</v>
      </c>
      <c r="H285" s="38">
        <v>3247</v>
      </c>
      <c r="I285" s="102"/>
      <c r="J285" s="36">
        <f t="shared" si="12"/>
        <v>27.023999999999997</v>
      </c>
      <c r="K285" s="36">
        <v>6</v>
      </c>
      <c r="L285" s="37">
        <f t="shared" si="13"/>
        <v>4.5039999999999996</v>
      </c>
      <c r="M285" s="38">
        <f t="shared" si="14"/>
        <v>4504</v>
      </c>
      <c r="N285" s="35"/>
      <c r="O285" s="2"/>
      <c r="P285" s="2"/>
    </row>
    <row r="286" spans="1:16" s="5" customFormat="1" ht="12">
      <c r="A286" s="40" t="s">
        <v>114</v>
      </c>
      <c r="B286" s="40" t="s">
        <v>1627</v>
      </c>
      <c r="C286" s="97">
        <v>768</v>
      </c>
      <c r="D286" s="97">
        <v>758</v>
      </c>
      <c r="E286" s="97">
        <v>639</v>
      </c>
      <c r="F286" s="97">
        <v>231</v>
      </c>
      <c r="G286" s="97">
        <v>757</v>
      </c>
      <c r="H286" s="97">
        <v>492</v>
      </c>
      <c r="I286" s="98"/>
      <c r="J286" s="10">
        <f t="shared" si="12"/>
        <v>4.6080000000000005</v>
      </c>
      <c r="K286" s="11">
        <v>6</v>
      </c>
      <c r="L286" s="12">
        <f t="shared" si="13"/>
        <v>0.76800000000000002</v>
      </c>
      <c r="M286" s="13">
        <f t="shared" si="14"/>
        <v>768</v>
      </c>
      <c r="N286" s="15"/>
    </row>
    <row r="287" spans="1:16" s="5" customFormat="1" ht="12">
      <c r="A287" s="40" t="s">
        <v>206</v>
      </c>
      <c r="B287" s="40" t="s">
        <v>207</v>
      </c>
      <c r="C287" s="97">
        <v>1055</v>
      </c>
      <c r="D287" s="97">
        <v>1026</v>
      </c>
      <c r="E287" s="97">
        <v>888</v>
      </c>
      <c r="F287" s="97">
        <v>295</v>
      </c>
      <c r="G287" s="97">
        <v>1033</v>
      </c>
      <c r="H287" s="97">
        <v>686</v>
      </c>
      <c r="I287" s="98"/>
      <c r="J287" s="10">
        <f t="shared" si="12"/>
        <v>6.33</v>
      </c>
      <c r="K287" s="11">
        <v>6</v>
      </c>
      <c r="L287" s="12">
        <f t="shared" si="13"/>
        <v>1.0549999999999999</v>
      </c>
      <c r="M287" s="13">
        <f t="shared" si="14"/>
        <v>1055</v>
      </c>
      <c r="N287" s="15"/>
    </row>
    <row r="288" spans="1:16" s="5" customFormat="1" ht="12">
      <c r="A288" s="40" t="s">
        <v>206</v>
      </c>
      <c r="B288" s="40" t="s">
        <v>235</v>
      </c>
      <c r="C288" s="97">
        <v>322</v>
      </c>
      <c r="D288" s="97">
        <v>313</v>
      </c>
      <c r="E288" s="97">
        <v>275</v>
      </c>
      <c r="F288" s="97">
        <v>75</v>
      </c>
      <c r="G288" s="97">
        <v>320</v>
      </c>
      <c r="H288" s="97">
        <v>203</v>
      </c>
      <c r="I288" s="98"/>
      <c r="J288" s="10">
        <f t="shared" si="12"/>
        <v>1.9319999999999999</v>
      </c>
      <c r="K288" s="11">
        <v>6</v>
      </c>
      <c r="L288" s="12">
        <f t="shared" si="13"/>
        <v>0.32200000000000001</v>
      </c>
      <c r="M288" s="13">
        <f t="shared" si="14"/>
        <v>322</v>
      </c>
      <c r="N288" s="15"/>
    </row>
    <row r="289" spans="1:14" s="5" customFormat="1" ht="12">
      <c r="A289" s="40" t="s">
        <v>206</v>
      </c>
      <c r="B289" s="40" t="s">
        <v>285</v>
      </c>
      <c r="C289" s="97">
        <v>2121</v>
      </c>
      <c r="D289" s="97">
        <v>2067</v>
      </c>
      <c r="E289" s="97">
        <v>1810</v>
      </c>
      <c r="F289" s="97">
        <v>609</v>
      </c>
      <c r="G289" s="97">
        <v>2099</v>
      </c>
      <c r="H289" s="97">
        <v>1323</v>
      </c>
      <c r="I289" s="98"/>
      <c r="J289" s="10">
        <f t="shared" si="12"/>
        <v>12.725999999999999</v>
      </c>
      <c r="K289" s="11">
        <v>6</v>
      </c>
      <c r="L289" s="12">
        <f t="shared" si="13"/>
        <v>2.121</v>
      </c>
      <c r="M289" s="13">
        <f t="shared" si="14"/>
        <v>2121</v>
      </c>
      <c r="N289" s="15"/>
    </row>
    <row r="290" spans="1:14" s="5" customFormat="1" ht="12">
      <c r="A290" s="40" t="s">
        <v>206</v>
      </c>
      <c r="B290" s="40" t="s">
        <v>312</v>
      </c>
      <c r="C290" s="97">
        <v>525</v>
      </c>
      <c r="D290" s="97">
        <v>500</v>
      </c>
      <c r="E290" s="97">
        <v>398</v>
      </c>
      <c r="F290" s="97">
        <v>104</v>
      </c>
      <c r="G290" s="97">
        <v>515</v>
      </c>
      <c r="H290" s="97">
        <v>239</v>
      </c>
      <c r="I290" s="98"/>
      <c r="J290" s="10">
        <f t="shared" si="12"/>
        <v>3.1500000000000004</v>
      </c>
      <c r="K290" s="11">
        <v>6</v>
      </c>
      <c r="L290" s="12">
        <f t="shared" si="13"/>
        <v>0.52500000000000002</v>
      </c>
      <c r="M290" s="13">
        <f t="shared" si="14"/>
        <v>525</v>
      </c>
      <c r="N290" s="15"/>
    </row>
    <row r="291" spans="1:14" s="5" customFormat="1" ht="12">
      <c r="A291" s="40" t="s">
        <v>206</v>
      </c>
      <c r="B291" s="40" t="s">
        <v>357</v>
      </c>
      <c r="C291" s="97">
        <v>1533</v>
      </c>
      <c r="D291" s="97">
        <v>1517</v>
      </c>
      <c r="E291" s="97">
        <v>1369</v>
      </c>
      <c r="F291" s="97">
        <v>410</v>
      </c>
      <c r="G291" s="97">
        <v>1530</v>
      </c>
      <c r="H291" s="97">
        <v>1007</v>
      </c>
      <c r="I291" s="98"/>
      <c r="J291" s="10">
        <f t="shared" si="12"/>
        <v>9.1980000000000004</v>
      </c>
      <c r="K291" s="11">
        <v>6</v>
      </c>
      <c r="L291" s="12">
        <f t="shared" si="13"/>
        <v>1.5329999999999999</v>
      </c>
      <c r="M291" s="13">
        <f t="shared" si="14"/>
        <v>1533</v>
      </c>
      <c r="N291" s="15"/>
    </row>
    <row r="292" spans="1:14" s="5" customFormat="1" ht="12">
      <c r="A292" s="40" t="s">
        <v>206</v>
      </c>
      <c r="B292" s="40" t="s">
        <v>373</v>
      </c>
      <c r="C292" s="97">
        <v>369</v>
      </c>
      <c r="D292" s="97">
        <v>360</v>
      </c>
      <c r="E292" s="97">
        <v>311</v>
      </c>
      <c r="F292" s="97">
        <v>150</v>
      </c>
      <c r="G292" s="97">
        <v>364</v>
      </c>
      <c r="H292" s="97">
        <v>265</v>
      </c>
      <c r="I292" s="98"/>
      <c r="J292" s="10">
        <f t="shared" si="12"/>
        <v>2.214</v>
      </c>
      <c r="K292" s="11">
        <v>6</v>
      </c>
      <c r="L292" s="12">
        <f t="shared" si="13"/>
        <v>0.36899999999999999</v>
      </c>
      <c r="M292" s="13">
        <f t="shared" si="14"/>
        <v>369</v>
      </c>
      <c r="N292" s="15"/>
    </row>
    <row r="293" spans="1:14" s="5" customFormat="1" ht="12">
      <c r="A293" s="40" t="s">
        <v>206</v>
      </c>
      <c r="B293" s="40" t="s">
        <v>473</v>
      </c>
      <c r="C293" s="97">
        <v>310</v>
      </c>
      <c r="D293" s="97">
        <v>301</v>
      </c>
      <c r="E293" s="97">
        <v>251</v>
      </c>
      <c r="F293" s="97">
        <v>93</v>
      </c>
      <c r="G293" s="97">
        <v>309</v>
      </c>
      <c r="H293" s="97">
        <v>215</v>
      </c>
      <c r="I293" s="98"/>
      <c r="J293" s="10">
        <f t="shared" si="12"/>
        <v>1.8599999999999999</v>
      </c>
      <c r="K293" s="11">
        <v>6</v>
      </c>
      <c r="L293" s="12">
        <f t="shared" si="13"/>
        <v>0.31</v>
      </c>
      <c r="M293" s="13">
        <f t="shared" si="14"/>
        <v>310</v>
      </c>
      <c r="N293" s="15"/>
    </row>
    <row r="294" spans="1:14" s="5" customFormat="1" ht="12">
      <c r="A294" s="40" t="s">
        <v>206</v>
      </c>
      <c r="B294" s="40" t="s">
        <v>474</v>
      </c>
      <c r="C294" s="97">
        <v>1111</v>
      </c>
      <c r="D294" s="97">
        <v>1089</v>
      </c>
      <c r="E294" s="97">
        <v>951</v>
      </c>
      <c r="F294" s="97">
        <v>357</v>
      </c>
      <c r="G294" s="97">
        <v>1104</v>
      </c>
      <c r="H294" s="97">
        <v>776</v>
      </c>
      <c r="I294" s="98"/>
      <c r="J294" s="10">
        <f t="shared" si="12"/>
        <v>6.6660000000000004</v>
      </c>
      <c r="K294" s="11">
        <v>6</v>
      </c>
      <c r="L294" s="12">
        <f t="shared" si="13"/>
        <v>1.111</v>
      </c>
      <c r="M294" s="13">
        <f t="shared" si="14"/>
        <v>1111</v>
      </c>
      <c r="N294" s="15"/>
    </row>
    <row r="295" spans="1:14" s="5" customFormat="1" ht="12">
      <c r="A295" s="40" t="s">
        <v>206</v>
      </c>
      <c r="B295" s="40" t="s">
        <v>575</v>
      </c>
      <c r="C295" s="97">
        <v>1927</v>
      </c>
      <c r="D295" s="97">
        <v>1919</v>
      </c>
      <c r="E295" s="97">
        <v>1742</v>
      </c>
      <c r="F295" s="97">
        <v>541</v>
      </c>
      <c r="G295" s="97">
        <v>1911</v>
      </c>
      <c r="H295" s="97">
        <v>1206</v>
      </c>
      <c r="I295" s="98"/>
      <c r="J295" s="10">
        <f t="shared" si="12"/>
        <v>11.562000000000001</v>
      </c>
      <c r="K295" s="11">
        <v>6</v>
      </c>
      <c r="L295" s="12">
        <f t="shared" si="13"/>
        <v>1.927</v>
      </c>
      <c r="M295" s="13">
        <f t="shared" si="14"/>
        <v>1927</v>
      </c>
      <c r="N295" s="15"/>
    </row>
    <row r="296" spans="1:14" s="5" customFormat="1" ht="12">
      <c r="A296" s="40" t="s">
        <v>206</v>
      </c>
      <c r="B296" s="40" t="s">
        <v>626</v>
      </c>
      <c r="C296" s="97">
        <v>839</v>
      </c>
      <c r="D296" s="97">
        <v>821</v>
      </c>
      <c r="E296" s="97">
        <v>744</v>
      </c>
      <c r="F296" s="97">
        <v>338</v>
      </c>
      <c r="G296" s="97">
        <v>832</v>
      </c>
      <c r="H296" s="97">
        <v>627</v>
      </c>
      <c r="I296" s="98"/>
      <c r="J296" s="10">
        <f t="shared" si="12"/>
        <v>5.0339999999999998</v>
      </c>
      <c r="K296" s="11">
        <v>6</v>
      </c>
      <c r="L296" s="12">
        <f t="shared" si="13"/>
        <v>0.83899999999999997</v>
      </c>
      <c r="M296" s="13">
        <f t="shared" si="14"/>
        <v>839</v>
      </c>
      <c r="N296" s="15"/>
    </row>
    <row r="297" spans="1:14" s="5" customFormat="1" ht="12">
      <c r="A297" s="40" t="s">
        <v>206</v>
      </c>
      <c r="B297" s="40" t="s">
        <v>630</v>
      </c>
      <c r="C297" s="97">
        <v>376</v>
      </c>
      <c r="D297" s="97">
        <v>364</v>
      </c>
      <c r="E297" s="97">
        <v>310</v>
      </c>
      <c r="F297" s="97">
        <v>79</v>
      </c>
      <c r="G297" s="97">
        <v>376</v>
      </c>
      <c r="H297" s="97">
        <v>196</v>
      </c>
      <c r="I297" s="98"/>
      <c r="J297" s="10">
        <f t="shared" si="12"/>
        <v>2.2560000000000002</v>
      </c>
      <c r="K297" s="11">
        <v>6</v>
      </c>
      <c r="L297" s="12">
        <f t="shared" si="13"/>
        <v>0.376</v>
      </c>
      <c r="M297" s="13">
        <f t="shared" si="14"/>
        <v>376</v>
      </c>
      <c r="N297" s="15"/>
    </row>
    <row r="298" spans="1:14" s="5" customFormat="1" ht="12">
      <c r="A298" s="40" t="s">
        <v>206</v>
      </c>
      <c r="B298" s="40" t="s">
        <v>688</v>
      </c>
      <c r="C298" s="97">
        <v>407</v>
      </c>
      <c r="D298" s="97">
        <v>392</v>
      </c>
      <c r="E298" s="97">
        <v>319</v>
      </c>
      <c r="F298" s="97">
        <v>103</v>
      </c>
      <c r="G298" s="97">
        <v>401</v>
      </c>
      <c r="H298" s="97">
        <v>245</v>
      </c>
      <c r="I298" s="98"/>
      <c r="J298" s="10">
        <f t="shared" si="12"/>
        <v>2.4419999999999997</v>
      </c>
      <c r="K298" s="11">
        <v>6</v>
      </c>
      <c r="L298" s="12">
        <f t="shared" si="13"/>
        <v>0.40699999999999997</v>
      </c>
      <c r="M298" s="13">
        <f t="shared" si="14"/>
        <v>407</v>
      </c>
      <c r="N298" s="15"/>
    </row>
    <row r="299" spans="1:14" s="5" customFormat="1" ht="12">
      <c r="A299" s="40" t="s">
        <v>206</v>
      </c>
      <c r="B299" s="40" t="s">
        <v>746</v>
      </c>
      <c r="C299" s="97">
        <v>650</v>
      </c>
      <c r="D299" s="97">
        <v>636</v>
      </c>
      <c r="E299" s="97">
        <v>544</v>
      </c>
      <c r="F299" s="97">
        <v>176</v>
      </c>
      <c r="G299" s="97">
        <v>643</v>
      </c>
      <c r="H299" s="97">
        <v>394</v>
      </c>
      <c r="I299" s="98"/>
      <c r="J299" s="10">
        <f t="shared" si="12"/>
        <v>3.9000000000000004</v>
      </c>
      <c r="K299" s="11">
        <v>6</v>
      </c>
      <c r="L299" s="12">
        <f t="shared" si="13"/>
        <v>0.65</v>
      </c>
      <c r="M299" s="13">
        <f t="shared" si="14"/>
        <v>650</v>
      </c>
      <c r="N299" s="15"/>
    </row>
    <row r="300" spans="1:14" s="5" customFormat="1" ht="12">
      <c r="A300" s="40" t="s">
        <v>206</v>
      </c>
      <c r="B300" s="40" t="s">
        <v>762</v>
      </c>
      <c r="C300" s="97">
        <v>1090</v>
      </c>
      <c r="D300" s="97">
        <v>1069</v>
      </c>
      <c r="E300" s="97">
        <v>961</v>
      </c>
      <c r="F300" s="97">
        <v>305</v>
      </c>
      <c r="G300" s="97">
        <v>1083</v>
      </c>
      <c r="H300" s="97">
        <v>699</v>
      </c>
      <c r="I300" s="98"/>
      <c r="J300" s="10">
        <f t="shared" si="12"/>
        <v>6.5400000000000009</v>
      </c>
      <c r="K300" s="11">
        <v>6</v>
      </c>
      <c r="L300" s="12">
        <f t="shared" si="13"/>
        <v>1.0900000000000001</v>
      </c>
      <c r="M300" s="13">
        <f t="shared" si="14"/>
        <v>1090</v>
      </c>
      <c r="N300" s="15"/>
    </row>
    <row r="301" spans="1:14" s="5" customFormat="1" ht="12">
      <c r="A301" s="40" t="s">
        <v>206</v>
      </c>
      <c r="B301" s="40" t="s">
        <v>778</v>
      </c>
      <c r="C301" s="97">
        <v>481</v>
      </c>
      <c r="D301" s="97">
        <v>475</v>
      </c>
      <c r="E301" s="97">
        <v>425</v>
      </c>
      <c r="F301" s="97">
        <v>122</v>
      </c>
      <c r="G301" s="97">
        <v>475</v>
      </c>
      <c r="H301" s="97">
        <v>298</v>
      </c>
      <c r="I301" s="98"/>
      <c r="J301" s="10">
        <f t="shared" si="12"/>
        <v>2.8860000000000001</v>
      </c>
      <c r="K301" s="11">
        <v>6</v>
      </c>
      <c r="L301" s="12">
        <f t="shared" si="13"/>
        <v>0.48099999999999998</v>
      </c>
      <c r="M301" s="13">
        <f t="shared" si="14"/>
        <v>481</v>
      </c>
      <c r="N301" s="15"/>
    </row>
    <row r="302" spans="1:14" s="5" customFormat="1" ht="12">
      <c r="A302" s="40" t="s">
        <v>206</v>
      </c>
      <c r="B302" s="40" t="s">
        <v>1106</v>
      </c>
      <c r="C302" s="97">
        <v>650</v>
      </c>
      <c r="D302" s="97">
        <v>640</v>
      </c>
      <c r="E302" s="97">
        <v>517</v>
      </c>
      <c r="F302" s="97">
        <v>162</v>
      </c>
      <c r="G302" s="97">
        <v>645</v>
      </c>
      <c r="H302" s="97">
        <v>385</v>
      </c>
      <c r="I302" s="98"/>
      <c r="J302" s="10">
        <f t="shared" si="12"/>
        <v>3.9000000000000004</v>
      </c>
      <c r="K302" s="11">
        <v>6</v>
      </c>
      <c r="L302" s="12">
        <f t="shared" si="13"/>
        <v>0.65</v>
      </c>
      <c r="M302" s="13">
        <f t="shared" si="14"/>
        <v>650</v>
      </c>
      <c r="N302" s="15"/>
    </row>
    <row r="303" spans="1:14" s="5" customFormat="1" ht="12">
      <c r="A303" s="40" t="s">
        <v>206</v>
      </c>
      <c r="B303" s="40" t="s">
        <v>1118</v>
      </c>
      <c r="C303" s="97">
        <v>1037</v>
      </c>
      <c r="D303" s="97">
        <v>1007</v>
      </c>
      <c r="E303" s="97">
        <v>876</v>
      </c>
      <c r="F303" s="97">
        <v>364</v>
      </c>
      <c r="G303" s="97">
        <v>1030</v>
      </c>
      <c r="H303" s="97">
        <v>744</v>
      </c>
      <c r="I303" s="98"/>
      <c r="J303" s="10">
        <f t="shared" si="12"/>
        <v>6.2219999999999995</v>
      </c>
      <c r="K303" s="11">
        <v>6</v>
      </c>
      <c r="L303" s="12">
        <f t="shared" si="13"/>
        <v>1.0369999999999999</v>
      </c>
      <c r="M303" s="13">
        <f t="shared" si="14"/>
        <v>1037</v>
      </c>
      <c r="N303" s="15"/>
    </row>
    <row r="304" spans="1:14" s="5" customFormat="1" ht="12">
      <c r="A304" s="40" t="s">
        <v>206</v>
      </c>
      <c r="B304" s="40" t="s">
        <v>1289</v>
      </c>
      <c r="C304" s="97">
        <v>303</v>
      </c>
      <c r="D304" s="97">
        <v>290</v>
      </c>
      <c r="E304" s="97">
        <v>240</v>
      </c>
      <c r="F304" s="97">
        <v>84</v>
      </c>
      <c r="G304" s="97">
        <v>302</v>
      </c>
      <c r="H304" s="97">
        <v>172</v>
      </c>
      <c r="I304" s="98"/>
      <c r="J304" s="10">
        <f t="shared" si="12"/>
        <v>1.8180000000000001</v>
      </c>
      <c r="K304" s="11">
        <v>6</v>
      </c>
      <c r="L304" s="12">
        <f t="shared" si="13"/>
        <v>0.30299999999999999</v>
      </c>
      <c r="M304" s="13">
        <f t="shared" si="14"/>
        <v>303</v>
      </c>
      <c r="N304" s="15"/>
    </row>
    <row r="305" spans="1:14" s="5" customFormat="1" ht="12">
      <c r="A305" s="40" t="s">
        <v>206</v>
      </c>
      <c r="B305" s="40" t="s">
        <v>1333</v>
      </c>
      <c r="C305" s="97">
        <v>1207</v>
      </c>
      <c r="D305" s="97">
        <v>1195</v>
      </c>
      <c r="E305" s="97">
        <v>1071</v>
      </c>
      <c r="F305" s="97">
        <v>368</v>
      </c>
      <c r="G305" s="97">
        <v>1190</v>
      </c>
      <c r="H305" s="97">
        <v>843</v>
      </c>
      <c r="I305" s="98"/>
      <c r="J305" s="10">
        <f t="shared" si="12"/>
        <v>7.2420000000000009</v>
      </c>
      <c r="K305" s="11">
        <v>6</v>
      </c>
      <c r="L305" s="12">
        <f t="shared" si="13"/>
        <v>1.2070000000000001</v>
      </c>
      <c r="M305" s="13">
        <f t="shared" si="14"/>
        <v>1207</v>
      </c>
      <c r="N305" s="15"/>
    </row>
    <row r="306" spans="1:14" s="5" customFormat="1" ht="12">
      <c r="A306" s="40" t="s">
        <v>206</v>
      </c>
      <c r="B306" s="40" t="s">
        <v>1415</v>
      </c>
      <c r="C306" s="97">
        <v>1973</v>
      </c>
      <c r="D306" s="97">
        <v>1936</v>
      </c>
      <c r="E306" s="97">
        <v>1608</v>
      </c>
      <c r="F306" s="97">
        <v>547</v>
      </c>
      <c r="G306" s="97">
        <v>1948</v>
      </c>
      <c r="H306" s="97">
        <v>1224</v>
      </c>
      <c r="I306" s="98"/>
      <c r="J306" s="10">
        <f t="shared" si="12"/>
        <v>11.838000000000001</v>
      </c>
      <c r="K306" s="11">
        <v>6</v>
      </c>
      <c r="L306" s="12">
        <f t="shared" si="13"/>
        <v>1.9730000000000001</v>
      </c>
      <c r="M306" s="13">
        <f t="shared" si="14"/>
        <v>1973</v>
      </c>
      <c r="N306" s="15"/>
    </row>
    <row r="307" spans="1:14" s="5" customFormat="1" ht="12">
      <c r="A307" s="40" t="s">
        <v>206</v>
      </c>
      <c r="B307" s="40" t="s">
        <v>1567</v>
      </c>
      <c r="C307" s="97">
        <v>494</v>
      </c>
      <c r="D307" s="97">
        <v>490</v>
      </c>
      <c r="E307" s="97">
        <v>427</v>
      </c>
      <c r="F307" s="97">
        <v>140</v>
      </c>
      <c r="G307" s="97">
        <v>487</v>
      </c>
      <c r="H307" s="97">
        <v>294</v>
      </c>
      <c r="I307" s="98"/>
      <c r="J307" s="10">
        <f t="shared" si="12"/>
        <v>2.964</v>
      </c>
      <c r="K307" s="11">
        <v>6</v>
      </c>
      <c r="L307" s="12">
        <f t="shared" si="13"/>
        <v>0.49399999999999999</v>
      </c>
      <c r="M307" s="13">
        <f t="shared" si="14"/>
        <v>494</v>
      </c>
      <c r="N307" s="15"/>
    </row>
    <row r="308" spans="1:14" s="5" customFormat="1" ht="12">
      <c r="A308" s="40" t="s">
        <v>206</v>
      </c>
      <c r="B308" s="40" t="s">
        <v>1595</v>
      </c>
      <c r="C308" s="97">
        <v>1082</v>
      </c>
      <c r="D308" s="97">
        <v>1056</v>
      </c>
      <c r="E308" s="97">
        <v>916</v>
      </c>
      <c r="F308" s="97">
        <v>292</v>
      </c>
      <c r="G308" s="97">
        <v>1068</v>
      </c>
      <c r="H308" s="97">
        <v>676</v>
      </c>
      <c r="I308" s="98"/>
      <c r="J308" s="10">
        <f t="shared" si="12"/>
        <v>6.4920000000000009</v>
      </c>
      <c r="K308" s="11">
        <v>6</v>
      </c>
      <c r="L308" s="12">
        <f t="shared" si="13"/>
        <v>1.0820000000000001</v>
      </c>
      <c r="M308" s="13">
        <f t="shared" si="14"/>
        <v>1082</v>
      </c>
      <c r="N308" s="15"/>
    </row>
    <row r="309" spans="1:14" s="5" customFormat="1" ht="12">
      <c r="A309" s="40" t="s">
        <v>206</v>
      </c>
      <c r="B309" s="40" t="s">
        <v>1604</v>
      </c>
      <c r="C309" s="97">
        <v>2167</v>
      </c>
      <c r="D309" s="97">
        <v>2120</v>
      </c>
      <c r="E309" s="97">
        <v>1789</v>
      </c>
      <c r="F309" s="97">
        <v>548</v>
      </c>
      <c r="G309" s="97">
        <v>2149</v>
      </c>
      <c r="H309" s="97">
        <v>1265</v>
      </c>
      <c r="I309" s="98"/>
      <c r="J309" s="10">
        <f t="shared" si="12"/>
        <v>13.001999999999999</v>
      </c>
      <c r="K309" s="11">
        <v>6</v>
      </c>
      <c r="L309" s="12">
        <f t="shared" si="13"/>
        <v>2.1669999999999998</v>
      </c>
      <c r="M309" s="13">
        <f t="shared" si="14"/>
        <v>2167</v>
      </c>
      <c r="N309" s="15"/>
    </row>
    <row r="310" spans="1:14" s="5" customFormat="1" ht="12">
      <c r="A310" s="40" t="s">
        <v>206</v>
      </c>
      <c r="B310" s="40" t="s">
        <v>1792</v>
      </c>
      <c r="C310" s="97">
        <v>1162</v>
      </c>
      <c r="D310" s="97">
        <v>1149</v>
      </c>
      <c r="E310" s="97">
        <v>1039</v>
      </c>
      <c r="F310" s="97">
        <v>326</v>
      </c>
      <c r="G310" s="97">
        <v>1157</v>
      </c>
      <c r="H310" s="97">
        <v>697</v>
      </c>
      <c r="I310" s="98"/>
      <c r="J310" s="10">
        <f t="shared" si="12"/>
        <v>6.9719999999999995</v>
      </c>
      <c r="K310" s="11">
        <v>6</v>
      </c>
      <c r="L310" s="12">
        <f t="shared" si="13"/>
        <v>1.1619999999999999</v>
      </c>
      <c r="M310" s="13">
        <f t="shared" si="14"/>
        <v>1162</v>
      </c>
      <c r="N310" s="15"/>
    </row>
    <row r="311" spans="1:14" s="5" customFormat="1" ht="12">
      <c r="A311" s="40" t="s">
        <v>206</v>
      </c>
      <c r="B311" s="40" t="s">
        <v>1814</v>
      </c>
      <c r="C311" s="97">
        <v>402</v>
      </c>
      <c r="D311" s="97">
        <v>379</v>
      </c>
      <c r="E311" s="97">
        <v>328</v>
      </c>
      <c r="F311" s="97">
        <v>93</v>
      </c>
      <c r="G311" s="97">
        <v>400</v>
      </c>
      <c r="H311" s="97">
        <v>219</v>
      </c>
      <c r="I311" s="98"/>
      <c r="J311" s="10">
        <f t="shared" si="12"/>
        <v>2.4119999999999999</v>
      </c>
      <c r="K311" s="11">
        <v>6</v>
      </c>
      <c r="L311" s="12">
        <f t="shared" si="13"/>
        <v>0.40200000000000002</v>
      </c>
      <c r="M311" s="13">
        <f t="shared" si="14"/>
        <v>402</v>
      </c>
      <c r="N311" s="15"/>
    </row>
    <row r="312" spans="1:14" s="5" customFormat="1" ht="12">
      <c r="A312" s="40" t="s">
        <v>206</v>
      </c>
      <c r="B312" s="40" t="s">
        <v>1895</v>
      </c>
      <c r="C312" s="97">
        <v>304</v>
      </c>
      <c r="D312" s="97">
        <v>291</v>
      </c>
      <c r="E312" s="97">
        <v>240</v>
      </c>
      <c r="F312" s="97">
        <v>70</v>
      </c>
      <c r="G312" s="97">
        <v>301</v>
      </c>
      <c r="H312" s="97">
        <v>132</v>
      </c>
      <c r="I312" s="98"/>
      <c r="J312" s="10">
        <f t="shared" si="12"/>
        <v>1.8239999999999998</v>
      </c>
      <c r="K312" s="11">
        <v>6</v>
      </c>
      <c r="L312" s="12">
        <f t="shared" si="13"/>
        <v>0.30399999999999999</v>
      </c>
      <c r="M312" s="13">
        <f t="shared" si="14"/>
        <v>304</v>
      </c>
      <c r="N312" s="15"/>
    </row>
    <row r="313" spans="1:14" s="5" customFormat="1" ht="12">
      <c r="A313" s="64" t="s">
        <v>32</v>
      </c>
      <c r="B313" s="64" t="s">
        <v>487</v>
      </c>
      <c r="C313" s="19">
        <v>735</v>
      </c>
      <c r="D313" s="19">
        <v>714</v>
      </c>
      <c r="E313" s="19">
        <v>584</v>
      </c>
      <c r="F313" s="19">
        <v>158</v>
      </c>
      <c r="G313" s="19">
        <v>721</v>
      </c>
      <c r="H313" s="19">
        <v>365</v>
      </c>
      <c r="I313" s="101"/>
      <c r="J313" s="17">
        <v>2.6760000000000002</v>
      </c>
      <c r="K313" s="17">
        <v>6</v>
      </c>
      <c r="L313" s="18">
        <v>0.44600000000000001</v>
      </c>
      <c r="M313" s="19">
        <v>446</v>
      </c>
      <c r="N313" s="15"/>
    </row>
    <row r="314" spans="1:14" s="5" customFormat="1" ht="12">
      <c r="A314" s="64" t="s">
        <v>32</v>
      </c>
      <c r="B314" s="64" t="s">
        <v>493</v>
      </c>
      <c r="C314" s="19">
        <v>581</v>
      </c>
      <c r="D314" s="19">
        <v>568</v>
      </c>
      <c r="E314" s="19">
        <v>442</v>
      </c>
      <c r="F314" s="19">
        <v>106</v>
      </c>
      <c r="G314" s="19">
        <v>561</v>
      </c>
      <c r="H314" s="19">
        <v>249</v>
      </c>
      <c r="I314" s="101"/>
      <c r="J314" s="17">
        <v>3.0539999999999998</v>
      </c>
      <c r="K314" s="17">
        <v>6</v>
      </c>
      <c r="L314" s="18">
        <v>0.50900000000000001</v>
      </c>
      <c r="M314" s="19">
        <v>509</v>
      </c>
      <c r="N314" s="15"/>
    </row>
    <row r="315" spans="1:14" s="5" customFormat="1" ht="12">
      <c r="A315" s="40" t="s">
        <v>32</v>
      </c>
      <c r="B315" s="40" t="s">
        <v>540</v>
      </c>
      <c r="C315" s="97">
        <v>333</v>
      </c>
      <c r="D315" s="97">
        <v>320</v>
      </c>
      <c r="E315" s="97">
        <v>229</v>
      </c>
      <c r="F315" s="97">
        <v>72</v>
      </c>
      <c r="G315" s="97">
        <v>325</v>
      </c>
      <c r="H315" s="97">
        <v>188</v>
      </c>
      <c r="I315" s="98"/>
      <c r="J315" s="10">
        <f>+K315*L315</f>
        <v>1.9980000000000002</v>
      </c>
      <c r="K315" s="11">
        <v>6</v>
      </c>
      <c r="L315" s="12">
        <f>+M315/1000</f>
        <v>0.33300000000000002</v>
      </c>
      <c r="M315" s="13">
        <f>+C315</f>
        <v>333</v>
      </c>
      <c r="N315" s="15"/>
    </row>
    <row r="316" spans="1:14" s="5" customFormat="1" ht="12">
      <c r="A316" s="40" t="s">
        <v>32</v>
      </c>
      <c r="B316" s="40" t="s">
        <v>558</v>
      </c>
      <c r="C316" s="97">
        <v>695</v>
      </c>
      <c r="D316" s="97">
        <v>676</v>
      </c>
      <c r="E316" s="97">
        <v>580</v>
      </c>
      <c r="F316" s="97">
        <v>162</v>
      </c>
      <c r="G316" s="97">
        <v>677</v>
      </c>
      <c r="H316" s="97">
        <v>378</v>
      </c>
      <c r="I316" s="98"/>
      <c r="J316" s="10">
        <f>+K316*L316</f>
        <v>4.17</v>
      </c>
      <c r="K316" s="11">
        <v>6</v>
      </c>
      <c r="L316" s="12">
        <f>+M316/1000</f>
        <v>0.69499999999999995</v>
      </c>
      <c r="M316" s="13">
        <f>+C316</f>
        <v>695</v>
      </c>
      <c r="N316" s="15"/>
    </row>
    <row r="317" spans="1:14" s="5" customFormat="1" ht="12">
      <c r="A317" s="40" t="s">
        <v>32</v>
      </c>
      <c r="B317" s="40" t="s">
        <v>571</v>
      </c>
      <c r="C317" s="97">
        <v>413</v>
      </c>
      <c r="D317" s="97">
        <v>408</v>
      </c>
      <c r="E317" s="97">
        <v>292</v>
      </c>
      <c r="F317" s="97">
        <v>94</v>
      </c>
      <c r="G317" s="97">
        <v>403</v>
      </c>
      <c r="H317" s="97">
        <v>215</v>
      </c>
      <c r="I317" s="98"/>
      <c r="J317" s="10">
        <f>+K317*L317</f>
        <v>2.4779999999999998</v>
      </c>
      <c r="K317" s="11">
        <v>6</v>
      </c>
      <c r="L317" s="12">
        <f>+M317/1000</f>
        <v>0.41299999999999998</v>
      </c>
      <c r="M317" s="13">
        <f>+C317</f>
        <v>413</v>
      </c>
      <c r="N317" s="15"/>
    </row>
    <row r="318" spans="1:14" s="5" customFormat="1" ht="12">
      <c r="A318" s="64" t="s">
        <v>32</v>
      </c>
      <c r="B318" s="64" t="s">
        <v>583</v>
      </c>
      <c r="C318" s="19">
        <v>774</v>
      </c>
      <c r="D318" s="19">
        <v>761</v>
      </c>
      <c r="E318" s="19">
        <v>627</v>
      </c>
      <c r="F318" s="19">
        <v>143</v>
      </c>
      <c r="G318" s="19">
        <v>757</v>
      </c>
      <c r="H318" s="19">
        <v>377</v>
      </c>
      <c r="I318" s="101"/>
      <c r="J318" s="17">
        <v>4.5599999999999996</v>
      </c>
      <c r="K318" s="17">
        <v>6</v>
      </c>
      <c r="L318" s="18">
        <v>0.76</v>
      </c>
      <c r="M318" s="19">
        <v>760</v>
      </c>
      <c r="N318" s="15"/>
    </row>
    <row r="319" spans="1:14" s="5" customFormat="1" ht="12">
      <c r="A319" s="40" t="s">
        <v>32</v>
      </c>
      <c r="B319" s="40" t="s">
        <v>724</v>
      </c>
      <c r="C319" s="97">
        <v>895</v>
      </c>
      <c r="D319" s="97">
        <v>875</v>
      </c>
      <c r="E319" s="97">
        <v>717</v>
      </c>
      <c r="F319" s="97">
        <v>210</v>
      </c>
      <c r="G319" s="97">
        <v>867</v>
      </c>
      <c r="H319" s="97">
        <v>480</v>
      </c>
      <c r="I319" s="98"/>
      <c r="J319" s="10">
        <f>+K319*L319</f>
        <v>5.37</v>
      </c>
      <c r="K319" s="11">
        <v>6</v>
      </c>
      <c r="L319" s="12">
        <f>+M319/1000</f>
        <v>0.89500000000000002</v>
      </c>
      <c r="M319" s="13">
        <f>+C319</f>
        <v>895</v>
      </c>
      <c r="N319" s="15"/>
    </row>
    <row r="320" spans="1:14" s="5" customFormat="1" ht="12">
      <c r="A320" s="64" t="s">
        <v>32</v>
      </c>
      <c r="B320" s="64" t="s">
        <v>737</v>
      </c>
      <c r="C320" s="19">
        <v>658</v>
      </c>
      <c r="D320" s="19">
        <v>641</v>
      </c>
      <c r="E320" s="19">
        <v>505</v>
      </c>
      <c r="F320" s="19">
        <v>142</v>
      </c>
      <c r="G320" s="19">
        <v>647</v>
      </c>
      <c r="H320" s="19">
        <v>356</v>
      </c>
      <c r="I320" s="101"/>
      <c r="J320" s="17">
        <v>2.8919999999999999</v>
      </c>
      <c r="K320" s="17">
        <v>6</v>
      </c>
      <c r="L320" s="18">
        <v>0.48199999999999998</v>
      </c>
      <c r="M320" s="19">
        <v>482</v>
      </c>
      <c r="N320" s="15"/>
    </row>
    <row r="321" spans="1:16" s="5" customFormat="1" ht="12">
      <c r="A321" s="64" t="s">
        <v>32</v>
      </c>
      <c r="B321" s="64" t="s">
        <v>852</v>
      </c>
      <c r="C321" s="19">
        <v>323</v>
      </c>
      <c r="D321" s="19">
        <v>316</v>
      </c>
      <c r="E321" s="19">
        <v>250</v>
      </c>
      <c r="F321" s="19">
        <v>58</v>
      </c>
      <c r="G321" s="19">
        <v>309</v>
      </c>
      <c r="H321" s="19">
        <v>155</v>
      </c>
      <c r="I321" s="101"/>
      <c r="J321" s="17">
        <v>4.1219999999999999</v>
      </c>
      <c r="K321" s="17">
        <v>6</v>
      </c>
      <c r="L321" s="18">
        <v>0.68700000000000006</v>
      </c>
      <c r="M321" s="19">
        <v>687</v>
      </c>
      <c r="N321" s="15"/>
    </row>
    <row r="322" spans="1:16" s="5" customFormat="1" ht="12">
      <c r="A322" s="64" t="s">
        <v>32</v>
      </c>
      <c r="B322" s="64" t="s">
        <v>889</v>
      </c>
      <c r="C322" s="19">
        <v>332</v>
      </c>
      <c r="D322" s="19">
        <v>320</v>
      </c>
      <c r="E322" s="19">
        <v>256</v>
      </c>
      <c r="F322" s="19">
        <v>103</v>
      </c>
      <c r="G322" s="19">
        <v>324</v>
      </c>
      <c r="H322" s="19">
        <v>208</v>
      </c>
      <c r="I322" s="101"/>
      <c r="J322" s="17">
        <v>3.5339999999999998</v>
      </c>
      <c r="K322" s="17">
        <v>6</v>
      </c>
      <c r="L322" s="18">
        <v>0.58899999999999997</v>
      </c>
      <c r="M322" s="19">
        <v>589</v>
      </c>
      <c r="N322" s="15"/>
    </row>
    <row r="323" spans="1:16" s="5" customFormat="1" ht="12">
      <c r="A323" s="40" t="s">
        <v>32</v>
      </c>
      <c r="B323" s="40" t="s">
        <v>958</v>
      </c>
      <c r="C323" s="97">
        <v>513</v>
      </c>
      <c r="D323" s="97">
        <v>490</v>
      </c>
      <c r="E323" s="97">
        <v>428</v>
      </c>
      <c r="F323" s="97">
        <v>110</v>
      </c>
      <c r="G323" s="97">
        <v>504</v>
      </c>
      <c r="H323" s="97">
        <v>273</v>
      </c>
      <c r="I323" s="98"/>
      <c r="J323" s="10">
        <f>+K323*L323</f>
        <v>3.0780000000000003</v>
      </c>
      <c r="K323" s="11">
        <v>6</v>
      </c>
      <c r="L323" s="12">
        <f>+M323/1000</f>
        <v>0.51300000000000001</v>
      </c>
      <c r="M323" s="13">
        <f>+C323</f>
        <v>513</v>
      </c>
      <c r="N323" s="15"/>
    </row>
    <row r="324" spans="1:16" s="5" customFormat="1" ht="12">
      <c r="A324" s="40" t="s">
        <v>32</v>
      </c>
      <c r="B324" s="40" t="s">
        <v>969</v>
      </c>
      <c r="C324" s="97">
        <v>767</v>
      </c>
      <c r="D324" s="97">
        <v>742</v>
      </c>
      <c r="E324" s="97">
        <v>614</v>
      </c>
      <c r="F324" s="97">
        <v>171</v>
      </c>
      <c r="G324" s="97">
        <v>754</v>
      </c>
      <c r="H324" s="97">
        <v>441</v>
      </c>
      <c r="I324" s="98"/>
      <c r="J324" s="10">
        <f>+K324*L324</f>
        <v>4.6020000000000003</v>
      </c>
      <c r="K324" s="11">
        <v>6</v>
      </c>
      <c r="L324" s="12">
        <f>+M324/1000</f>
        <v>0.76700000000000002</v>
      </c>
      <c r="M324" s="13">
        <f>+C324</f>
        <v>767</v>
      </c>
      <c r="N324" s="15"/>
    </row>
    <row r="325" spans="1:16" s="5" customFormat="1" ht="12">
      <c r="A325" s="64" t="s">
        <v>32</v>
      </c>
      <c r="B325" s="64" t="s">
        <v>1019</v>
      </c>
      <c r="C325" s="19">
        <v>312</v>
      </c>
      <c r="D325" s="19">
        <v>311</v>
      </c>
      <c r="E325" s="19">
        <v>255</v>
      </c>
      <c r="F325" s="19">
        <v>100</v>
      </c>
      <c r="G325" s="19">
        <v>305</v>
      </c>
      <c r="H325" s="19">
        <v>183</v>
      </c>
      <c r="I325" s="101"/>
      <c r="J325" s="17">
        <v>2.1419999999999999</v>
      </c>
      <c r="K325" s="17">
        <v>6</v>
      </c>
      <c r="L325" s="18">
        <v>0.35699999999999998</v>
      </c>
      <c r="M325" s="19">
        <v>357</v>
      </c>
      <c r="N325" s="15"/>
    </row>
    <row r="326" spans="1:16" s="5" customFormat="1" ht="12">
      <c r="A326" s="64" t="s">
        <v>32</v>
      </c>
      <c r="B326" s="64" t="s">
        <v>1111</v>
      </c>
      <c r="C326" s="19">
        <v>359</v>
      </c>
      <c r="D326" s="19">
        <v>345</v>
      </c>
      <c r="E326" s="19">
        <v>260</v>
      </c>
      <c r="F326" s="19">
        <v>87</v>
      </c>
      <c r="G326" s="19">
        <v>346</v>
      </c>
      <c r="H326" s="19">
        <v>183</v>
      </c>
      <c r="I326" s="101"/>
      <c r="J326" s="17">
        <v>2.7959999999999998</v>
      </c>
      <c r="K326" s="17">
        <v>6</v>
      </c>
      <c r="L326" s="18">
        <v>0.46600000000000003</v>
      </c>
      <c r="M326" s="19">
        <v>466</v>
      </c>
      <c r="N326" s="22"/>
    </row>
    <row r="327" spans="1:16" s="5" customFormat="1" ht="12">
      <c r="A327" s="64" t="s">
        <v>32</v>
      </c>
      <c r="B327" s="64" t="s">
        <v>1119</v>
      </c>
      <c r="C327" s="19">
        <v>391</v>
      </c>
      <c r="D327" s="19">
        <v>384</v>
      </c>
      <c r="E327" s="19">
        <v>291</v>
      </c>
      <c r="F327" s="19">
        <v>75</v>
      </c>
      <c r="G327" s="19">
        <v>388</v>
      </c>
      <c r="H327" s="19">
        <v>220</v>
      </c>
      <c r="I327" s="101"/>
      <c r="J327" s="17">
        <v>2.1480000000000001</v>
      </c>
      <c r="K327" s="17">
        <v>6</v>
      </c>
      <c r="L327" s="18">
        <v>0.35799999999999998</v>
      </c>
      <c r="M327" s="19">
        <v>358</v>
      </c>
      <c r="N327" s="22"/>
    </row>
    <row r="328" spans="1:16" s="5" customFormat="1" ht="12">
      <c r="A328" s="64" t="s">
        <v>32</v>
      </c>
      <c r="B328" s="64" t="s">
        <v>1139</v>
      </c>
      <c r="C328" s="19">
        <v>895</v>
      </c>
      <c r="D328" s="19">
        <v>878</v>
      </c>
      <c r="E328" s="19">
        <v>756</v>
      </c>
      <c r="F328" s="19">
        <v>210</v>
      </c>
      <c r="G328" s="19">
        <v>878</v>
      </c>
      <c r="H328" s="19">
        <v>501</v>
      </c>
      <c r="I328" s="101"/>
      <c r="J328" s="17">
        <v>1.8959999999999999</v>
      </c>
      <c r="K328" s="17">
        <v>6</v>
      </c>
      <c r="L328" s="18">
        <v>0.316</v>
      </c>
      <c r="M328" s="19">
        <v>316</v>
      </c>
      <c r="N328" s="22"/>
    </row>
    <row r="329" spans="1:16" s="5" customFormat="1" ht="12">
      <c r="A329" s="64" t="s">
        <v>32</v>
      </c>
      <c r="B329" s="64" t="s">
        <v>1151</v>
      </c>
      <c r="C329" s="19">
        <v>742</v>
      </c>
      <c r="D329" s="19">
        <v>724</v>
      </c>
      <c r="E329" s="19">
        <v>611</v>
      </c>
      <c r="F329" s="19">
        <v>175</v>
      </c>
      <c r="G329" s="19">
        <v>737</v>
      </c>
      <c r="H329" s="19">
        <v>434</v>
      </c>
      <c r="I329" s="101"/>
      <c r="J329" s="17">
        <v>2.4780000000000002</v>
      </c>
      <c r="K329" s="17">
        <v>6</v>
      </c>
      <c r="L329" s="18">
        <v>0.41299999999999998</v>
      </c>
      <c r="M329" s="19">
        <v>413</v>
      </c>
      <c r="N329" s="22"/>
    </row>
    <row r="330" spans="1:16" s="5" customFormat="1" ht="12">
      <c r="A330" s="40" t="s">
        <v>32</v>
      </c>
      <c r="B330" s="40" t="s">
        <v>1191</v>
      </c>
      <c r="C330" s="97">
        <v>370</v>
      </c>
      <c r="D330" s="97">
        <v>351</v>
      </c>
      <c r="E330" s="97">
        <v>251</v>
      </c>
      <c r="F330" s="97">
        <v>87</v>
      </c>
      <c r="G330" s="97">
        <v>355</v>
      </c>
      <c r="H330" s="97">
        <v>186</v>
      </c>
      <c r="I330" s="98"/>
      <c r="J330" s="10">
        <f t="shared" ref="J330:J393" si="15">+K330*L330</f>
        <v>2.2199999999999998</v>
      </c>
      <c r="K330" s="11">
        <v>6</v>
      </c>
      <c r="L330" s="12">
        <f t="shared" ref="L330:L393" si="16">+M330/1000</f>
        <v>0.37</v>
      </c>
      <c r="M330" s="13">
        <f t="shared" ref="M330:M393" si="17">+C330</f>
        <v>370</v>
      </c>
      <c r="N330" s="15"/>
    </row>
    <row r="331" spans="1:16" s="5" customFormat="1" ht="12">
      <c r="A331" s="40" t="s">
        <v>32</v>
      </c>
      <c r="B331" s="40" t="s">
        <v>1192</v>
      </c>
      <c r="C331" s="97">
        <v>633</v>
      </c>
      <c r="D331" s="97">
        <v>618</v>
      </c>
      <c r="E331" s="97">
        <v>511</v>
      </c>
      <c r="F331" s="97">
        <v>137</v>
      </c>
      <c r="G331" s="97">
        <v>614</v>
      </c>
      <c r="H331" s="97">
        <v>325</v>
      </c>
      <c r="I331" s="98"/>
      <c r="J331" s="10">
        <f t="shared" si="15"/>
        <v>3.798</v>
      </c>
      <c r="K331" s="11">
        <v>6</v>
      </c>
      <c r="L331" s="12">
        <f t="shared" si="16"/>
        <v>0.63300000000000001</v>
      </c>
      <c r="M331" s="13">
        <f t="shared" si="17"/>
        <v>633</v>
      </c>
      <c r="N331" s="15"/>
    </row>
    <row r="332" spans="1:16" s="5" customFormat="1" ht="12">
      <c r="A332" s="40" t="s">
        <v>32</v>
      </c>
      <c r="B332" s="40" t="s">
        <v>1214</v>
      </c>
      <c r="C332" s="97">
        <v>371</v>
      </c>
      <c r="D332" s="97">
        <v>354</v>
      </c>
      <c r="E332" s="97">
        <v>275</v>
      </c>
      <c r="F332" s="97">
        <v>101</v>
      </c>
      <c r="G332" s="97">
        <v>356</v>
      </c>
      <c r="H332" s="97">
        <v>199</v>
      </c>
      <c r="I332" s="98"/>
      <c r="J332" s="10">
        <f t="shared" si="15"/>
        <v>2.226</v>
      </c>
      <c r="K332" s="11">
        <v>6</v>
      </c>
      <c r="L332" s="12">
        <f t="shared" si="16"/>
        <v>0.371</v>
      </c>
      <c r="M332" s="13">
        <f t="shared" si="17"/>
        <v>371</v>
      </c>
      <c r="N332" s="15"/>
    </row>
    <row r="333" spans="1:16" s="5" customFormat="1" ht="12">
      <c r="A333" s="40" t="s">
        <v>32</v>
      </c>
      <c r="B333" s="40" t="s">
        <v>1231</v>
      </c>
      <c r="C333" s="97">
        <v>446</v>
      </c>
      <c r="D333" s="97">
        <v>434</v>
      </c>
      <c r="E333" s="97">
        <v>322</v>
      </c>
      <c r="F333" s="97">
        <v>92</v>
      </c>
      <c r="G333" s="97">
        <v>441</v>
      </c>
      <c r="H333" s="97">
        <v>271</v>
      </c>
      <c r="I333" s="98"/>
      <c r="J333" s="10">
        <f t="shared" si="15"/>
        <v>2.6760000000000002</v>
      </c>
      <c r="K333" s="11">
        <v>6</v>
      </c>
      <c r="L333" s="12">
        <f t="shared" si="16"/>
        <v>0.44600000000000001</v>
      </c>
      <c r="M333" s="13">
        <f t="shared" si="17"/>
        <v>446</v>
      </c>
      <c r="N333" s="15"/>
    </row>
    <row r="334" spans="1:16" s="1" customFormat="1" ht="12">
      <c r="A334" s="40" t="s">
        <v>32</v>
      </c>
      <c r="B334" s="40" t="s">
        <v>1240</v>
      </c>
      <c r="C334" s="97">
        <v>954</v>
      </c>
      <c r="D334" s="97">
        <v>926</v>
      </c>
      <c r="E334" s="97">
        <v>781</v>
      </c>
      <c r="F334" s="97">
        <v>304</v>
      </c>
      <c r="G334" s="97">
        <v>922</v>
      </c>
      <c r="H334" s="97">
        <v>595</v>
      </c>
      <c r="I334" s="98"/>
      <c r="J334" s="10">
        <f t="shared" si="15"/>
        <v>5.7240000000000002</v>
      </c>
      <c r="K334" s="11">
        <v>6</v>
      </c>
      <c r="L334" s="12">
        <f t="shared" si="16"/>
        <v>0.95399999999999996</v>
      </c>
      <c r="M334" s="13">
        <f t="shared" si="17"/>
        <v>954</v>
      </c>
      <c r="N334" s="15"/>
      <c r="O334" s="5"/>
      <c r="P334" s="5"/>
    </row>
    <row r="335" spans="1:16" s="1" customFormat="1" ht="12">
      <c r="A335" s="40" t="s">
        <v>32</v>
      </c>
      <c r="B335" s="40" t="s">
        <v>1266</v>
      </c>
      <c r="C335" s="97">
        <v>340</v>
      </c>
      <c r="D335" s="97">
        <v>332</v>
      </c>
      <c r="E335" s="97">
        <v>280</v>
      </c>
      <c r="F335" s="97">
        <v>102</v>
      </c>
      <c r="G335" s="97">
        <v>335</v>
      </c>
      <c r="H335" s="97">
        <v>210</v>
      </c>
      <c r="I335" s="98"/>
      <c r="J335" s="10">
        <f t="shared" si="15"/>
        <v>2.04</v>
      </c>
      <c r="K335" s="11">
        <v>6</v>
      </c>
      <c r="L335" s="12">
        <f t="shared" si="16"/>
        <v>0.34</v>
      </c>
      <c r="M335" s="13">
        <f t="shared" si="17"/>
        <v>340</v>
      </c>
      <c r="N335" s="15"/>
      <c r="O335" s="5"/>
      <c r="P335" s="5"/>
    </row>
    <row r="336" spans="1:16" s="5" customFormat="1" ht="12">
      <c r="A336" s="40" t="s">
        <v>32</v>
      </c>
      <c r="B336" s="40" t="s">
        <v>1317</v>
      </c>
      <c r="C336" s="97">
        <v>876</v>
      </c>
      <c r="D336" s="97">
        <v>845</v>
      </c>
      <c r="E336" s="97">
        <v>685</v>
      </c>
      <c r="F336" s="97">
        <v>157</v>
      </c>
      <c r="G336" s="97">
        <v>852</v>
      </c>
      <c r="H336" s="97">
        <v>465</v>
      </c>
      <c r="I336" s="98"/>
      <c r="J336" s="10">
        <f t="shared" si="15"/>
        <v>5.2560000000000002</v>
      </c>
      <c r="K336" s="11">
        <v>6</v>
      </c>
      <c r="L336" s="12">
        <f t="shared" si="16"/>
        <v>0.876</v>
      </c>
      <c r="M336" s="13">
        <f t="shared" si="17"/>
        <v>876</v>
      </c>
      <c r="N336" s="15"/>
    </row>
    <row r="337" spans="1:16" s="5" customFormat="1" ht="12">
      <c r="A337" s="40" t="s">
        <v>32</v>
      </c>
      <c r="B337" s="40" t="s">
        <v>1389</v>
      </c>
      <c r="C337" s="97">
        <v>532</v>
      </c>
      <c r="D337" s="97">
        <v>509</v>
      </c>
      <c r="E337" s="97">
        <v>400</v>
      </c>
      <c r="F337" s="97">
        <v>108</v>
      </c>
      <c r="G337" s="97">
        <v>517</v>
      </c>
      <c r="H337" s="97">
        <v>280</v>
      </c>
      <c r="I337" s="98"/>
      <c r="J337" s="10">
        <f t="shared" si="15"/>
        <v>3.1920000000000002</v>
      </c>
      <c r="K337" s="11">
        <v>6</v>
      </c>
      <c r="L337" s="12">
        <f t="shared" si="16"/>
        <v>0.53200000000000003</v>
      </c>
      <c r="M337" s="13">
        <f t="shared" si="17"/>
        <v>532</v>
      </c>
      <c r="N337" s="15"/>
    </row>
    <row r="338" spans="1:16" s="5" customFormat="1" ht="12">
      <c r="A338" s="40" t="s">
        <v>32</v>
      </c>
      <c r="B338" s="40" t="s">
        <v>1530</v>
      </c>
      <c r="C338" s="97">
        <v>539</v>
      </c>
      <c r="D338" s="97">
        <v>534</v>
      </c>
      <c r="E338" s="97">
        <v>501</v>
      </c>
      <c r="F338" s="97">
        <v>253</v>
      </c>
      <c r="G338" s="97">
        <v>534</v>
      </c>
      <c r="H338" s="97">
        <v>462</v>
      </c>
      <c r="I338" s="98"/>
      <c r="J338" s="10">
        <f t="shared" si="15"/>
        <v>3.234</v>
      </c>
      <c r="K338" s="11">
        <v>6</v>
      </c>
      <c r="L338" s="12">
        <f t="shared" si="16"/>
        <v>0.53900000000000003</v>
      </c>
      <c r="M338" s="13">
        <f t="shared" si="17"/>
        <v>539</v>
      </c>
      <c r="N338" s="15"/>
    </row>
    <row r="339" spans="1:16" s="5" customFormat="1" ht="12">
      <c r="A339" s="40" t="s">
        <v>32</v>
      </c>
      <c r="B339" s="40" t="s">
        <v>1568</v>
      </c>
      <c r="C339" s="97">
        <v>917</v>
      </c>
      <c r="D339" s="97">
        <v>904</v>
      </c>
      <c r="E339" s="97">
        <v>715</v>
      </c>
      <c r="F339" s="97">
        <v>209</v>
      </c>
      <c r="G339" s="97">
        <v>905</v>
      </c>
      <c r="H339" s="97">
        <v>465</v>
      </c>
      <c r="I339" s="98"/>
      <c r="J339" s="10">
        <f t="shared" si="15"/>
        <v>5.5020000000000007</v>
      </c>
      <c r="K339" s="11">
        <v>6</v>
      </c>
      <c r="L339" s="12">
        <f t="shared" si="16"/>
        <v>0.91700000000000004</v>
      </c>
      <c r="M339" s="13">
        <f t="shared" si="17"/>
        <v>917</v>
      </c>
      <c r="N339" s="15"/>
    </row>
    <row r="340" spans="1:16" s="5" customFormat="1" ht="12">
      <c r="A340" s="40" t="s">
        <v>32</v>
      </c>
      <c r="B340" s="40" t="s">
        <v>1637</v>
      </c>
      <c r="C340" s="97">
        <v>737</v>
      </c>
      <c r="D340" s="97">
        <v>731</v>
      </c>
      <c r="E340" s="97">
        <v>665</v>
      </c>
      <c r="F340" s="97">
        <v>282</v>
      </c>
      <c r="G340" s="97">
        <v>727</v>
      </c>
      <c r="H340" s="97">
        <v>536</v>
      </c>
      <c r="I340" s="98"/>
      <c r="J340" s="10">
        <f t="shared" si="15"/>
        <v>4.4219999999999997</v>
      </c>
      <c r="K340" s="11">
        <v>6</v>
      </c>
      <c r="L340" s="12">
        <f t="shared" si="16"/>
        <v>0.73699999999999999</v>
      </c>
      <c r="M340" s="13">
        <f t="shared" si="17"/>
        <v>737</v>
      </c>
      <c r="N340" s="15"/>
    </row>
    <row r="341" spans="1:16" s="2" customFormat="1" ht="12">
      <c r="A341" s="40" t="s">
        <v>32</v>
      </c>
      <c r="B341" s="40" t="s">
        <v>1658</v>
      </c>
      <c r="C341" s="97">
        <v>534</v>
      </c>
      <c r="D341" s="97">
        <v>514</v>
      </c>
      <c r="E341" s="97">
        <v>418</v>
      </c>
      <c r="F341" s="97">
        <v>99</v>
      </c>
      <c r="G341" s="97">
        <v>524</v>
      </c>
      <c r="H341" s="97">
        <v>264</v>
      </c>
      <c r="I341" s="98"/>
      <c r="J341" s="10">
        <f t="shared" si="15"/>
        <v>3.2040000000000002</v>
      </c>
      <c r="K341" s="11">
        <v>6</v>
      </c>
      <c r="L341" s="12">
        <f t="shared" si="16"/>
        <v>0.53400000000000003</v>
      </c>
      <c r="M341" s="13">
        <f t="shared" si="17"/>
        <v>534</v>
      </c>
      <c r="N341" s="15"/>
      <c r="O341" s="5"/>
      <c r="P341" s="5"/>
    </row>
    <row r="342" spans="1:16" s="5" customFormat="1" ht="12">
      <c r="A342" s="40" t="s">
        <v>32</v>
      </c>
      <c r="B342" s="40" t="s">
        <v>1720</v>
      </c>
      <c r="C342" s="97">
        <v>1019</v>
      </c>
      <c r="D342" s="97">
        <v>995</v>
      </c>
      <c r="E342" s="97">
        <v>841</v>
      </c>
      <c r="F342" s="97">
        <v>257</v>
      </c>
      <c r="G342" s="97">
        <v>1002</v>
      </c>
      <c r="H342" s="97">
        <v>547</v>
      </c>
      <c r="I342" s="98"/>
      <c r="J342" s="10">
        <f t="shared" si="15"/>
        <v>6.113999999999999</v>
      </c>
      <c r="K342" s="11">
        <v>6</v>
      </c>
      <c r="L342" s="12">
        <f t="shared" si="16"/>
        <v>1.0189999999999999</v>
      </c>
      <c r="M342" s="13">
        <f t="shared" si="17"/>
        <v>1019</v>
      </c>
      <c r="N342" s="15"/>
    </row>
    <row r="343" spans="1:16" s="5" customFormat="1" ht="12">
      <c r="A343" s="40" t="s">
        <v>32</v>
      </c>
      <c r="B343" s="40" t="s">
        <v>1793</v>
      </c>
      <c r="C343" s="97">
        <v>317</v>
      </c>
      <c r="D343" s="97">
        <v>306</v>
      </c>
      <c r="E343" s="97">
        <v>234</v>
      </c>
      <c r="F343" s="97">
        <v>60</v>
      </c>
      <c r="G343" s="97">
        <v>311</v>
      </c>
      <c r="H343" s="97">
        <v>147</v>
      </c>
      <c r="I343" s="98"/>
      <c r="J343" s="10">
        <f t="shared" si="15"/>
        <v>1.9020000000000001</v>
      </c>
      <c r="K343" s="11">
        <v>6</v>
      </c>
      <c r="L343" s="12">
        <f t="shared" si="16"/>
        <v>0.317</v>
      </c>
      <c r="M343" s="13">
        <f t="shared" si="17"/>
        <v>317</v>
      </c>
      <c r="N343" s="15"/>
    </row>
    <row r="344" spans="1:16" s="5" customFormat="1" ht="12">
      <c r="A344" s="40" t="s">
        <v>1958</v>
      </c>
      <c r="B344" s="40" t="s">
        <v>212</v>
      </c>
      <c r="C344" s="97">
        <v>442</v>
      </c>
      <c r="D344" s="97">
        <v>434</v>
      </c>
      <c r="E344" s="97">
        <v>340</v>
      </c>
      <c r="F344" s="97">
        <v>123</v>
      </c>
      <c r="G344" s="97">
        <v>429</v>
      </c>
      <c r="H344" s="97">
        <v>227</v>
      </c>
      <c r="I344" s="98"/>
      <c r="J344" s="10">
        <f t="shared" si="15"/>
        <v>2.6520000000000001</v>
      </c>
      <c r="K344" s="11">
        <v>6</v>
      </c>
      <c r="L344" s="12">
        <f t="shared" si="16"/>
        <v>0.442</v>
      </c>
      <c r="M344" s="13">
        <f t="shared" si="17"/>
        <v>442</v>
      </c>
      <c r="N344" s="15"/>
    </row>
    <row r="345" spans="1:16" s="5" customFormat="1" ht="12">
      <c r="A345" s="40" t="s">
        <v>1958</v>
      </c>
      <c r="B345" s="40" t="s">
        <v>313</v>
      </c>
      <c r="C345" s="97">
        <v>1181</v>
      </c>
      <c r="D345" s="97">
        <v>1171</v>
      </c>
      <c r="E345" s="97">
        <v>925</v>
      </c>
      <c r="F345" s="97">
        <v>272</v>
      </c>
      <c r="G345" s="97">
        <v>1147</v>
      </c>
      <c r="H345" s="97">
        <v>603</v>
      </c>
      <c r="I345" s="98"/>
      <c r="J345" s="10">
        <f t="shared" si="15"/>
        <v>7.0860000000000003</v>
      </c>
      <c r="K345" s="11">
        <v>6</v>
      </c>
      <c r="L345" s="12">
        <f t="shared" si="16"/>
        <v>1.181</v>
      </c>
      <c r="M345" s="13">
        <f t="shared" si="17"/>
        <v>1181</v>
      </c>
      <c r="N345" s="15"/>
    </row>
    <row r="346" spans="1:16" s="5" customFormat="1" ht="12">
      <c r="A346" s="40" t="s">
        <v>1958</v>
      </c>
      <c r="B346" s="40" t="s">
        <v>572</v>
      </c>
      <c r="C346" s="97">
        <v>989</v>
      </c>
      <c r="D346" s="97">
        <v>983</v>
      </c>
      <c r="E346" s="97">
        <v>768</v>
      </c>
      <c r="F346" s="97">
        <v>201</v>
      </c>
      <c r="G346" s="97">
        <v>963</v>
      </c>
      <c r="H346" s="97">
        <v>448</v>
      </c>
      <c r="I346" s="98"/>
      <c r="J346" s="10">
        <f t="shared" si="15"/>
        <v>5.9340000000000002</v>
      </c>
      <c r="K346" s="11">
        <v>6</v>
      </c>
      <c r="L346" s="12">
        <f t="shared" si="16"/>
        <v>0.98899999999999999</v>
      </c>
      <c r="M346" s="13">
        <f t="shared" si="17"/>
        <v>989</v>
      </c>
      <c r="N346" s="15"/>
    </row>
    <row r="347" spans="1:16" s="5" customFormat="1" ht="12">
      <c r="A347" s="40" t="s">
        <v>1958</v>
      </c>
      <c r="B347" s="40" t="s">
        <v>612</v>
      </c>
      <c r="C347" s="97">
        <v>448</v>
      </c>
      <c r="D347" s="97">
        <v>440</v>
      </c>
      <c r="E347" s="97">
        <v>365</v>
      </c>
      <c r="F347" s="97">
        <v>168</v>
      </c>
      <c r="G347" s="97">
        <v>433</v>
      </c>
      <c r="H347" s="97">
        <v>308</v>
      </c>
      <c r="I347" s="98"/>
      <c r="J347" s="10">
        <f t="shared" si="15"/>
        <v>2.6880000000000002</v>
      </c>
      <c r="K347" s="11">
        <v>6</v>
      </c>
      <c r="L347" s="12">
        <f t="shared" si="16"/>
        <v>0.44800000000000001</v>
      </c>
      <c r="M347" s="13">
        <f t="shared" si="17"/>
        <v>448</v>
      </c>
      <c r="N347" s="15"/>
    </row>
    <row r="348" spans="1:16" s="5" customFormat="1" ht="12">
      <c r="A348" s="40" t="s">
        <v>1958</v>
      </c>
      <c r="B348" s="40" t="s">
        <v>725</v>
      </c>
      <c r="C348" s="97">
        <v>372</v>
      </c>
      <c r="D348" s="97">
        <v>365</v>
      </c>
      <c r="E348" s="97">
        <v>295</v>
      </c>
      <c r="F348" s="97">
        <v>86</v>
      </c>
      <c r="G348" s="97">
        <v>358</v>
      </c>
      <c r="H348" s="97">
        <v>189</v>
      </c>
      <c r="I348" s="98"/>
      <c r="J348" s="10">
        <f t="shared" si="15"/>
        <v>2.2320000000000002</v>
      </c>
      <c r="K348" s="11">
        <v>6</v>
      </c>
      <c r="L348" s="12">
        <f t="shared" si="16"/>
        <v>0.372</v>
      </c>
      <c r="M348" s="13">
        <f t="shared" si="17"/>
        <v>372</v>
      </c>
      <c r="N348" s="15"/>
    </row>
    <row r="349" spans="1:16" s="5" customFormat="1" ht="12">
      <c r="A349" s="40" t="s">
        <v>1958</v>
      </c>
      <c r="B349" s="40" t="s">
        <v>952</v>
      </c>
      <c r="C349" s="97">
        <v>351</v>
      </c>
      <c r="D349" s="97">
        <v>348</v>
      </c>
      <c r="E349" s="97">
        <v>260</v>
      </c>
      <c r="F349" s="97">
        <v>63</v>
      </c>
      <c r="G349" s="97">
        <v>345</v>
      </c>
      <c r="H349" s="97">
        <v>147</v>
      </c>
      <c r="I349" s="98"/>
      <c r="J349" s="10">
        <f t="shared" si="15"/>
        <v>2.1059999999999999</v>
      </c>
      <c r="K349" s="11">
        <v>6</v>
      </c>
      <c r="L349" s="12">
        <f t="shared" si="16"/>
        <v>0.35099999999999998</v>
      </c>
      <c r="M349" s="13">
        <f t="shared" si="17"/>
        <v>351</v>
      </c>
      <c r="N349" s="15"/>
    </row>
    <row r="350" spans="1:16" s="5" customFormat="1" ht="12">
      <c r="A350" s="40" t="s">
        <v>1958</v>
      </c>
      <c r="B350" s="40" t="s">
        <v>1425</v>
      </c>
      <c r="C350" s="97">
        <v>950</v>
      </c>
      <c r="D350" s="97">
        <v>940</v>
      </c>
      <c r="E350" s="97">
        <v>746</v>
      </c>
      <c r="F350" s="97">
        <v>190</v>
      </c>
      <c r="G350" s="97">
        <v>927</v>
      </c>
      <c r="H350" s="97">
        <v>452</v>
      </c>
      <c r="I350" s="98"/>
      <c r="J350" s="10">
        <f t="shared" si="15"/>
        <v>5.6999999999999993</v>
      </c>
      <c r="K350" s="11">
        <v>6</v>
      </c>
      <c r="L350" s="12">
        <f t="shared" si="16"/>
        <v>0.95</v>
      </c>
      <c r="M350" s="13">
        <f t="shared" si="17"/>
        <v>950</v>
      </c>
      <c r="N350" s="15"/>
    </row>
    <row r="351" spans="1:16" s="5" customFormat="1" ht="12">
      <c r="A351" s="40" t="s">
        <v>1958</v>
      </c>
      <c r="B351" s="40" t="s">
        <v>1907</v>
      </c>
      <c r="C351" s="97">
        <v>790</v>
      </c>
      <c r="D351" s="97">
        <v>782</v>
      </c>
      <c r="E351" s="97">
        <v>592</v>
      </c>
      <c r="F351" s="97">
        <v>145</v>
      </c>
      <c r="G351" s="97">
        <v>771</v>
      </c>
      <c r="H351" s="97">
        <v>363</v>
      </c>
      <c r="I351" s="98"/>
      <c r="J351" s="10">
        <f t="shared" si="15"/>
        <v>4.74</v>
      </c>
      <c r="K351" s="11">
        <v>6</v>
      </c>
      <c r="L351" s="12">
        <f t="shared" si="16"/>
        <v>0.79</v>
      </c>
      <c r="M351" s="13">
        <f t="shared" si="17"/>
        <v>790</v>
      </c>
      <c r="N351" s="15"/>
    </row>
    <row r="352" spans="1:16" s="5" customFormat="1" ht="12">
      <c r="A352" s="40" t="s">
        <v>18</v>
      </c>
      <c r="B352" s="40" t="s">
        <v>618</v>
      </c>
      <c r="C352" s="97">
        <v>491</v>
      </c>
      <c r="D352" s="97">
        <v>488</v>
      </c>
      <c r="E352" s="97">
        <v>400</v>
      </c>
      <c r="F352" s="97">
        <v>129</v>
      </c>
      <c r="G352" s="97">
        <v>475</v>
      </c>
      <c r="H352" s="97">
        <v>264</v>
      </c>
      <c r="I352" s="98"/>
      <c r="J352" s="10">
        <f t="shared" si="15"/>
        <v>2.9459999999999997</v>
      </c>
      <c r="K352" s="11">
        <v>6</v>
      </c>
      <c r="L352" s="12">
        <f t="shared" si="16"/>
        <v>0.49099999999999999</v>
      </c>
      <c r="M352" s="13">
        <f t="shared" si="17"/>
        <v>491</v>
      </c>
      <c r="N352" s="15"/>
    </row>
    <row r="353" spans="1:16" s="5" customFormat="1" ht="12">
      <c r="A353" s="40" t="s">
        <v>18</v>
      </c>
      <c r="B353" s="40" t="s">
        <v>649</v>
      </c>
      <c r="C353" s="97">
        <v>1266</v>
      </c>
      <c r="D353" s="97">
        <v>1246</v>
      </c>
      <c r="E353" s="97">
        <v>1050</v>
      </c>
      <c r="F353" s="97">
        <v>291</v>
      </c>
      <c r="G353" s="97">
        <v>1239</v>
      </c>
      <c r="H353" s="97">
        <v>675</v>
      </c>
      <c r="I353" s="98"/>
      <c r="J353" s="10">
        <f t="shared" si="15"/>
        <v>7.5960000000000001</v>
      </c>
      <c r="K353" s="11">
        <v>6</v>
      </c>
      <c r="L353" s="12">
        <f t="shared" si="16"/>
        <v>1.266</v>
      </c>
      <c r="M353" s="13">
        <f t="shared" si="17"/>
        <v>1266</v>
      </c>
      <c r="N353" s="15"/>
    </row>
    <row r="354" spans="1:16" s="5" customFormat="1" ht="12">
      <c r="A354" s="65" t="s">
        <v>18</v>
      </c>
      <c r="B354" s="65" t="s">
        <v>1179</v>
      </c>
      <c r="C354" s="97">
        <v>1342</v>
      </c>
      <c r="D354" s="97">
        <v>1319</v>
      </c>
      <c r="E354" s="97">
        <v>1092</v>
      </c>
      <c r="F354" s="97">
        <v>302</v>
      </c>
      <c r="G354" s="97">
        <v>1305</v>
      </c>
      <c r="H354" s="97">
        <v>712</v>
      </c>
      <c r="I354" s="102"/>
      <c r="J354" s="10">
        <f t="shared" si="15"/>
        <v>8.0519999999999996</v>
      </c>
      <c r="K354" s="36">
        <v>6</v>
      </c>
      <c r="L354" s="37">
        <f t="shared" si="16"/>
        <v>1.3420000000000001</v>
      </c>
      <c r="M354" s="38">
        <f t="shared" si="17"/>
        <v>1342</v>
      </c>
      <c r="N354" s="35"/>
      <c r="O354" s="2"/>
      <c r="P354" s="2"/>
    </row>
    <row r="355" spans="1:16" s="5" customFormat="1" ht="12">
      <c r="A355" s="65" t="s">
        <v>18</v>
      </c>
      <c r="B355" s="65" t="s">
        <v>1303</v>
      </c>
      <c r="C355" s="97">
        <v>867</v>
      </c>
      <c r="D355" s="97">
        <v>853</v>
      </c>
      <c r="E355" s="97">
        <v>759</v>
      </c>
      <c r="F355" s="97">
        <v>216</v>
      </c>
      <c r="G355" s="97">
        <v>851</v>
      </c>
      <c r="H355" s="97">
        <v>500</v>
      </c>
      <c r="I355" s="102"/>
      <c r="J355" s="10">
        <f t="shared" si="15"/>
        <v>5.202</v>
      </c>
      <c r="K355" s="36">
        <v>6</v>
      </c>
      <c r="L355" s="37">
        <f t="shared" si="16"/>
        <v>0.86699999999999999</v>
      </c>
      <c r="M355" s="38">
        <f t="shared" si="17"/>
        <v>867</v>
      </c>
      <c r="N355" s="35"/>
      <c r="O355" s="2"/>
      <c r="P355" s="2"/>
    </row>
    <row r="356" spans="1:16" s="4" customFormat="1" ht="12">
      <c r="A356" s="40" t="s">
        <v>18</v>
      </c>
      <c r="B356" s="40" t="s">
        <v>1428</v>
      </c>
      <c r="C356" s="97">
        <v>366</v>
      </c>
      <c r="D356" s="97">
        <v>353</v>
      </c>
      <c r="E356" s="97">
        <v>305</v>
      </c>
      <c r="F356" s="97">
        <v>121</v>
      </c>
      <c r="G356" s="97">
        <v>354</v>
      </c>
      <c r="H356" s="97">
        <v>242</v>
      </c>
      <c r="I356" s="98"/>
      <c r="J356" s="10">
        <f t="shared" si="15"/>
        <v>2.1959999999999997</v>
      </c>
      <c r="K356" s="11">
        <v>6</v>
      </c>
      <c r="L356" s="12">
        <f t="shared" si="16"/>
        <v>0.36599999999999999</v>
      </c>
      <c r="M356" s="13">
        <f t="shared" si="17"/>
        <v>366</v>
      </c>
      <c r="N356" s="15"/>
      <c r="O356" s="5"/>
      <c r="P356" s="5"/>
    </row>
    <row r="357" spans="1:16" s="5" customFormat="1" ht="12">
      <c r="A357" s="40" t="s">
        <v>18</v>
      </c>
      <c r="B357" s="40" t="s">
        <v>1429</v>
      </c>
      <c r="C357" s="97">
        <v>585</v>
      </c>
      <c r="D357" s="97">
        <v>570</v>
      </c>
      <c r="E357" s="97">
        <v>478</v>
      </c>
      <c r="F357" s="97">
        <v>221</v>
      </c>
      <c r="G357" s="97">
        <v>564</v>
      </c>
      <c r="H357" s="97">
        <v>386</v>
      </c>
      <c r="I357" s="98"/>
      <c r="J357" s="10">
        <f t="shared" si="15"/>
        <v>3.51</v>
      </c>
      <c r="K357" s="11">
        <v>6</v>
      </c>
      <c r="L357" s="12">
        <f t="shared" si="16"/>
        <v>0.58499999999999996</v>
      </c>
      <c r="M357" s="13">
        <f t="shared" si="17"/>
        <v>585</v>
      </c>
      <c r="N357" s="15"/>
    </row>
    <row r="358" spans="1:16" s="5" customFormat="1" ht="12">
      <c r="A358" s="40" t="s">
        <v>18</v>
      </c>
      <c r="B358" s="40" t="s">
        <v>1431</v>
      </c>
      <c r="C358" s="97">
        <v>430</v>
      </c>
      <c r="D358" s="97">
        <v>422</v>
      </c>
      <c r="E358" s="97">
        <v>353</v>
      </c>
      <c r="F358" s="97">
        <v>94</v>
      </c>
      <c r="G358" s="97">
        <v>430</v>
      </c>
      <c r="H358" s="97">
        <v>257</v>
      </c>
      <c r="I358" s="98"/>
      <c r="J358" s="10">
        <f t="shared" si="15"/>
        <v>2.58</v>
      </c>
      <c r="K358" s="11">
        <v>6</v>
      </c>
      <c r="L358" s="12">
        <f t="shared" si="16"/>
        <v>0.43</v>
      </c>
      <c r="M358" s="13">
        <f t="shared" si="17"/>
        <v>430</v>
      </c>
      <c r="N358" s="15"/>
    </row>
    <row r="359" spans="1:16" s="5" customFormat="1" ht="12">
      <c r="A359" s="40" t="s">
        <v>18</v>
      </c>
      <c r="B359" s="69" t="s">
        <v>1432</v>
      </c>
      <c r="C359" s="97">
        <v>1299</v>
      </c>
      <c r="D359" s="97">
        <v>1283</v>
      </c>
      <c r="E359" s="97">
        <v>1126</v>
      </c>
      <c r="F359" s="97">
        <v>386</v>
      </c>
      <c r="G359" s="97">
        <v>1262</v>
      </c>
      <c r="H359" s="97">
        <v>808</v>
      </c>
      <c r="I359" s="98"/>
      <c r="J359" s="10">
        <f t="shared" si="15"/>
        <v>7.7939999999999996</v>
      </c>
      <c r="K359" s="11">
        <v>6</v>
      </c>
      <c r="L359" s="12">
        <f t="shared" si="16"/>
        <v>1.2989999999999999</v>
      </c>
      <c r="M359" s="13">
        <f t="shared" si="17"/>
        <v>1299</v>
      </c>
      <c r="N359" s="15"/>
    </row>
    <row r="360" spans="1:16" s="5" customFormat="1" ht="12">
      <c r="A360" s="40" t="s">
        <v>18</v>
      </c>
      <c r="B360" s="40" t="s">
        <v>1433</v>
      </c>
      <c r="C360" s="97">
        <v>323</v>
      </c>
      <c r="D360" s="97">
        <v>321</v>
      </c>
      <c r="E360" s="97">
        <v>256</v>
      </c>
      <c r="F360" s="97">
        <v>60</v>
      </c>
      <c r="G360" s="97">
        <v>312</v>
      </c>
      <c r="H360" s="97">
        <v>146</v>
      </c>
      <c r="I360" s="98"/>
      <c r="J360" s="10">
        <f t="shared" si="15"/>
        <v>1.9380000000000002</v>
      </c>
      <c r="K360" s="11">
        <v>6</v>
      </c>
      <c r="L360" s="12">
        <f t="shared" si="16"/>
        <v>0.32300000000000001</v>
      </c>
      <c r="M360" s="13">
        <f t="shared" si="17"/>
        <v>323</v>
      </c>
      <c r="N360" s="15"/>
    </row>
    <row r="361" spans="1:16" s="5" customFormat="1" ht="12">
      <c r="A361" s="40" t="s">
        <v>18</v>
      </c>
      <c r="B361" s="40" t="s">
        <v>1529</v>
      </c>
      <c r="C361" s="97">
        <v>343</v>
      </c>
      <c r="D361" s="97">
        <v>338</v>
      </c>
      <c r="E361" s="97">
        <v>258</v>
      </c>
      <c r="F361" s="97">
        <v>82</v>
      </c>
      <c r="G361" s="97">
        <v>333</v>
      </c>
      <c r="H361" s="97">
        <v>208</v>
      </c>
      <c r="I361" s="98"/>
      <c r="J361" s="10">
        <f t="shared" si="15"/>
        <v>2.0580000000000003</v>
      </c>
      <c r="K361" s="11">
        <v>6</v>
      </c>
      <c r="L361" s="12">
        <f t="shared" si="16"/>
        <v>0.34300000000000003</v>
      </c>
      <c r="M361" s="13">
        <f t="shared" si="17"/>
        <v>343</v>
      </c>
      <c r="N361" s="15"/>
    </row>
    <row r="362" spans="1:16" s="5" customFormat="1" ht="12">
      <c r="A362" s="40" t="s">
        <v>18</v>
      </c>
      <c r="B362" s="40" t="s">
        <v>1549</v>
      </c>
      <c r="C362" s="97">
        <v>403</v>
      </c>
      <c r="D362" s="97">
        <v>397</v>
      </c>
      <c r="E362" s="97">
        <v>337</v>
      </c>
      <c r="F362" s="97">
        <v>121</v>
      </c>
      <c r="G362" s="97">
        <v>396</v>
      </c>
      <c r="H362" s="97">
        <v>237</v>
      </c>
      <c r="I362" s="98"/>
      <c r="J362" s="10">
        <f t="shared" si="15"/>
        <v>2.4180000000000001</v>
      </c>
      <c r="K362" s="11">
        <v>6</v>
      </c>
      <c r="L362" s="12">
        <f t="shared" si="16"/>
        <v>0.40300000000000002</v>
      </c>
      <c r="M362" s="13">
        <f t="shared" si="17"/>
        <v>403</v>
      </c>
      <c r="N362" s="15"/>
    </row>
    <row r="363" spans="1:16" s="5" customFormat="1" ht="12">
      <c r="A363" s="65" t="s">
        <v>18</v>
      </c>
      <c r="B363" s="65" t="s">
        <v>1585</v>
      </c>
      <c r="C363" s="97">
        <v>831</v>
      </c>
      <c r="D363" s="97">
        <v>818</v>
      </c>
      <c r="E363" s="97">
        <v>687</v>
      </c>
      <c r="F363" s="97">
        <v>240</v>
      </c>
      <c r="G363" s="97">
        <v>822</v>
      </c>
      <c r="H363" s="97">
        <v>505</v>
      </c>
      <c r="I363" s="102"/>
      <c r="J363" s="10">
        <f t="shared" si="15"/>
        <v>4.9859999999999998</v>
      </c>
      <c r="K363" s="36">
        <v>6</v>
      </c>
      <c r="L363" s="37">
        <f t="shared" si="16"/>
        <v>0.83099999999999996</v>
      </c>
      <c r="M363" s="38">
        <f t="shared" si="17"/>
        <v>831</v>
      </c>
      <c r="N363" s="35"/>
      <c r="O363" s="2"/>
      <c r="P363" s="2"/>
    </row>
    <row r="364" spans="1:16" s="5" customFormat="1" ht="12">
      <c r="A364" s="65" t="s">
        <v>18</v>
      </c>
      <c r="B364" s="65" t="s">
        <v>1723</v>
      </c>
      <c r="C364" s="97">
        <v>819</v>
      </c>
      <c r="D364" s="97">
        <v>802</v>
      </c>
      <c r="E364" s="97">
        <v>717</v>
      </c>
      <c r="F364" s="97">
        <v>243</v>
      </c>
      <c r="G364" s="97">
        <v>812</v>
      </c>
      <c r="H364" s="97">
        <v>499</v>
      </c>
      <c r="I364" s="102"/>
      <c r="J364" s="10">
        <f t="shared" si="15"/>
        <v>4.9139999999999997</v>
      </c>
      <c r="K364" s="36">
        <v>6</v>
      </c>
      <c r="L364" s="37">
        <f t="shared" si="16"/>
        <v>0.81899999999999995</v>
      </c>
      <c r="M364" s="38">
        <f t="shared" si="17"/>
        <v>819</v>
      </c>
      <c r="N364" s="35"/>
      <c r="O364" s="2"/>
      <c r="P364" s="2"/>
    </row>
    <row r="365" spans="1:16" s="5" customFormat="1" ht="12">
      <c r="A365" s="40" t="s">
        <v>18</v>
      </c>
      <c r="B365" s="69" t="s">
        <v>1825</v>
      </c>
      <c r="C365" s="97">
        <v>932</v>
      </c>
      <c r="D365" s="97">
        <v>917</v>
      </c>
      <c r="E365" s="97">
        <v>744</v>
      </c>
      <c r="F365" s="97">
        <v>243</v>
      </c>
      <c r="G365" s="97">
        <v>918</v>
      </c>
      <c r="H365" s="97">
        <v>535</v>
      </c>
      <c r="I365" s="98"/>
      <c r="J365" s="10">
        <f t="shared" si="15"/>
        <v>5.5920000000000005</v>
      </c>
      <c r="K365" s="11">
        <v>6</v>
      </c>
      <c r="L365" s="12">
        <f t="shared" si="16"/>
        <v>0.93200000000000005</v>
      </c>
      <c r="M365" s="13">
        <f t="shared" si="17"/>
        <v>932</v>
      </c>
      <c r="N365" s="15"/>
    </row>
    <row r="366" spans="1:16" s="5" customFormat="1" ht="12">
      <c r="A366" s="40" t="s">
        <v>133</v>
      </c>
      <c r="B366" s="40" t="s">
        <v>134</v>
      </c>
      <c r="C366" s="97">
        <v>418</v>
      </c>
      <c r="D366" s="97">
        <v>406</v>
      </c>
      <c r="E366" s="97">
        <v>311</v>
      </c>
      <c r="F366" s="97">
        <v>85</v>
      </c>
      <c r="G366" s="97">
        <v>415</v>
      </c>
      <c r="H366" s="97">
        <v>202</v>
      </c>
      <c r="I366" s="98"/>
      <c r="J366" s="10">
        <f t="shared" si="15"/>
        <v>2.508</v>
      </c>
      <c r="K366" s="11">
        <v>6</v>
      </c>
      <c r="L366" s="12">
        <f t="shared" si="16"/>
        <v>0.41799999999999998</v>
      </c>
      <c r="M366" s="13">
        <f t="shared" si="17"/>
        <v>418</v>
      </c>
      <c r="N366" s="15"/>
    </row>
    <row r="367" spans="1:16" s="5" customFormat="1" ht="12">
      <c r="A367" s="40" t="s">
        <v>133</v>
      </c>
      <c r="B367" s="40" t="s">
        <v>344</v>
      </c>
      <c r="C367" s="97">
        <v>1086</v>
      </c>
      <c r="D367" s="97">
        <v>1074</v>
      </c>
      <c r="E367" s="97">
        <v>850</v>
      </c>
      <c r="F367" s="97">
        <v>213</v>
      </c>
      <c r="G367" s="97">
        <v>1063</v>
      </c>
      <c r="H367" s="97">
        <v>541</v>
      </c>
      <c r="I367" s="98"/>
      <c r="J367" s="10">
        <f t="shared" si="15"/>
        <v>6.516</v>
      </c>
      <c r="K367" s="11">
        <v>6</v>
      </c>
      <c r="L367" s="12">
        <f t="shared" si="16"/>
        <v>1.0860000000000001</v>
      </c>
      <c r="M367" s="13">
        <f t="shared" si="17"/>
        <v>1086</v>
      </c>
      <c r="N367" s="15"/>
    </row>
    <row r="368" spans="1:16" s="5" customFormat="1" ht="12">
      <c r="A368" s="40" t="s">
        <v>133</v>
      </c>
      <c r="B368" s="40" t="s">
        <v>470</v>
      </c>
      <c r="C368" s="97">
        <v>1009</v>
      </c>
      <c r="D368" s="97">
        <v>992</v>
      </c>
      <c r="E368" s="97">
        <v>798</v>
      </c>
      <c r="F368" s="97">
        <v>248</v>
      </c>
      <c r="G368" s="97">
        <v>994</v>
      </c>
      <c r="H368" s="97">
        <v>529</v>
      </c>
      <c r="I368" s="98"/>
      <c r="J368" s="10">
        <f t="shared" si="15"/>
        <v>6.0539999999999994</v>
      </c>
      <c r="K368" s="11">
        <v>6</v>
      </c>
      <c r="L368" s="12">
        <f t="shared" si="16"/>
        <v>1.0089999999999999</v>
      </c>
      <c r="M368" s="13">
        <f t="shared" si="17"/>
        <v>1009</v>
      </c>
      <c r="N368" s="15"/>
    </row>
    <row r="369" spans="1:16" s="5" customFormat="1" ht="12">
      <c r="A369" s="40" t="s">
        <v>133</v>
      </c>
      <c r="B369" s="40" t="s">
        <v>675</v>
      </c>
      <c r="C369" s="97">
        <v>697</v>
      </c>
      <c r="D369" s="97">
        <v>686</v>
      </c>
      <c r="E369" s="97">
        <v>579</v>
      </c>
      <c r="F369" s="97">
        <v>245</v>
      </c>
      <c r="G369" s="97">
        <v>679</v>
      </c>
      <c r="H369" s="97">
        <v>472</v>
      </c>
      <c r="I369" s="98"/>
      <c r="J369" s="10">
        <f t="shared" si="15"/>
        <v>4.1819999999999995</v>
      </c>
      <c r="K369" s="11">
        <v>6</v>
      </c>
      <c r="L369" s="12">
        <f t="shared" si="16"/>
        <v>0.69699999999999995</v>
      </c>
      <c r="M369" s="13">
        <f t="shared" si="17"/>
        <v>697</v>
      </c>
      <c r="N369" s="15"/>
    </row>
    <row r="370" spans="1:16" s="5" customFormat="1" ht="12">
      <c r="A370" s="40" t="s">
        <v>133</v>
      </c>
      <c r="B370" s="40" t="s">
        <v>872</v>
      </c>
      <c r="C370" s="97">
        <v>359</v>
      </c>
      <c r="D370" s="97">
        <v>353</v>
      </c>
      <c r="E370" s="97">
        <v>268</v>
      </c>
      <c r="F370" s="97">
        <v>101</v>
      </c>
      <c r="G370" s="97">
        <v>354</v>
      </c>
      <c r="H370" s="97">
        <v>211</v>
      </c>
      <c r="I370" s="98"/>
      <c r="J370" s="10">
        <f t="shared" si="15"/>
        <v>2.1539999999999999</v>
      </c>
      <c r="K370" s="11">
        <v>6</v>
      </c>
      <c r="L370" s="12">
        <f t="shared" si="16"/>
        <v>0.35899999999999999</v>
      </c>
      <c r="M370" s="13">
        <f t="shared" si="17"/>
        <v>359</v>
      </c>
      <c r="N370" s="15"/>
    </row>
    <row r="371" spans="1:16" s="5" customFormat="1" ht="12">
      <c r="A371" s="40" t="s">
        <v>133</v>
      </c>
      <c r="B371" s="40" t="s">
        <v>1029</v>
      </c>
      <c r="C371" s="97">
        <v>669</v>
      </c>
      <c r="D371" s="97">
        <v>654</v>
      </c>
      <c r="E371" s="97">
        <v>557</v>
      </c>
      <c r="F371" s="97">
        <v>239</v>
      </c>
      <c r="G371" s="97">
        <v>656</v>
      </c>
      <c r="H371" s="97">
        <v>382</v>
      </c>
      <c r="I371" s="98"/>
      <c r="J371" s="10">
        <f t="shared" si="15"/>
        <v>4.0140000000000002</v>
      </c>
      <c r="K371" s="11">
        <v>6</v>
      </c>
      <c r="L371" s="12">
        <f t="shared" si="16"/>
        <v>0.66900000000000004</v>
      </c>
      <c r="M371" s="13">
        <f t="shared" si="17"/>
        <v>669</v>
      </c>
      <c r="N371" s="15"/>
    </row>
    <row r="372" spans="1:16" s="5" customFormat="1" ht="12">
      <c r="A372" s="40" t="s">
        <v>133</v>
      </c>
      <c r="B372" s="40" t="s">
        <v>1498</v>
      </c>
      <c r="C372" s="97">
        <v>543</v>
      </c>
      <c r="D372" s="97">
        <v>534</v>
      </c>
      <c r="E372" s="97">
        <v>446</v>
      </c>
      <c r="F372" s="97">
        <v>119</v>
      </c>
      <c r="G372" s="97">
        <v>536</v>
      </c>
      <c r="H372" s="97">
        <v>281</v>
      </c>
      <c r="I372" s="98"/>
      <c r="J372" s="10">
        <f t="shared" si="15"/>
        <v>3.258</v>
      </c>
      <c r="K372" s="11">
        <v>6</v>
      </c>
      <c r="L372" s="12">
        <f t="shared" si="16"/>
        <v>0.54300000000000004</v>
      </c>
      <c r="M372" s="13">
        <f t="shared" si="17"/>
        <v>543</v>
      </c>
      <c r="N372" s="15"/>
    </row>
    <row r="373" spans="1:16" s="5" customFormat="1" ht="11.25" customHeight="1">
      <c r="A373" s="40" t="s">
        <v>133</v>
      </c>
      <c r="B373" s="40" t="s">
        <v>1536</v>
      </c>
      <c r="C373" s="97">
        <v>1097</v>
      </c>
      <c r="D373" s="97">
        <v>1089</v>
      </c>
      <c r="E373" s="97">
        <v>940</v>
      </c>
      <c r="F373" s="97">
        <v>410</v>
      </c>
      <c r="G373" s="97">
        <v>1066</v>
      </c>
      <c r="H373" s="97">
        <v>753</v>
      </c>
      <c r="I373" s="98"/>
      <c r="J373" s="10">
        <f t="shared" si="15"/>
        <v>6.5819999999999999</v>
      </c>
      <c r="K373" s="11">
        <v>6</v>
      </c>
      <c r="L373" s="12">
        <f t="shared" si="16"/>
        <v>1.097</v>
      </c>
      <c r="M373" s="13">
        <f t="shared" si="17"/>
        <v>1097</v>
      </c>
      <c r="N373" s="15"/>
    </row>
    <row r="374" spans="1:16">
      <c r="A374" s="40" t="s">
        <v>133</v>
      </c>
      <c r="B374" s="40" t="s">
        <v>1707</v>
      </c>
      <c r="C374" s="97">
        <v>772</v>
      </c>
      <c r="D374" s="97">
        <v>752</v>
      </c>
      <c r="E374" s="97">
        <v>611</v>
      </c>
      <c r="F374" s="97">
        <v>237</v>
      </c>
      <c r="G374" s="97">
        <v>769</v>
      </c>
      <c r="H374" s="97">
        <v>470</v>
      </c>
      <c r="I374" s="98"/>
      <c r="J374" s="10">
        <f t="shared" si="15"/>
        <v>4.6319999999999997</v>
      </c>
      <c r="K374" s="11">
        <v>6</v>
      </c>
      <c r="L374" s="12">
        <f t="shared" si="16"/>
        <v>0.77200000000000002</v>
      </c>
      <c r="M374" s="13">
        <f t="shared" si="17"/>
        <v>772</v>
      </c>
      <c r="N374" s="15"/>
      <c r="O374" s="5"/>
      <c r="P374" s="5"/>
    </row>
    <row r="375" spans="1:16">
      <c r="A375" s="40" t="s">
        <v>656</v>
      </c>
      <c r="B375" s="40" t="s">
        <v>657</v>
      </c>
      <c r="C375" s="97">
        <v>332</v>
      </c>
      <c r="D375" s="97">
        <v>322</v>
      </c>
      <c r="E375" s="97">
        <v>264</v>
      </c>
      <c r="F375" s="97">
        <v>62</v>
      </c>
      <c r="G375" s="97">
        <v>329</v>
      </c>
      <c r="H375" s="97">
        <v>152</v>
      </c>
      <c r="I375" s="98"/>
      <c r="J375" s="10">
        <f t="shared" si="15"/>
        <v>1.992</v>
      </c>
      <c r="K375" s="11">
        <v>6</v>
      </c>
      <c r="L375" s="12">
        <f t="shared" si="16"/>
        <v>0.33200000000000002</v>
      </c>
      <c r="M375" s="13">
        <f t="shared" si="17"/>
        <v>332</v>
      </c>
      <c r="N375" s="15"/>
      <c r="O375" s="5"/>
      <c r="P375" s="5"/>
    </row>
    <row r="376" spans="1:16" s="5" customFormat="1" ht="12">
      <c r="A376" s="40" t="s">
        <v>656</v>
      </c>
      <c r="B376" s="40" t="s">
        <v>813</v>
      </c>
      <c r="C376" s="97">
        <v>791</v>
      </c>
      <c r="D376" s="97">
        <v>777</v>
      </c>
      <c r="E376" s="97">
        <v>598</v>
      </c>
      <c r="F376" s="97">
        <v>192</v>
      </c>
      <c r="G376" s="97">
        <v>786</v>
      </c>
      <c r="H376" s="97">
        <v>410</v>
      </c>
      <c r="I376" s="98"/>
      <c r="J376" s="10">
        <f t="shared" si="15"/>
        <v>4.7460000000000004</v>
      </c>
      <c r="K376" s="11">
        <v>6</v>
      </c>
      <c r="L376" s="12">
        <f t="shared" si="16"/>
        <v>0.79100000000000004</v>
      </c>
      <c r="M376" s="13">
        <f t="shared" si="17"/>
        <v>791</v>
      </c>
      <c r="N376" s="15"/>
    </row>
    <row r="377" spans="1:16" s="5" customFormat="1" ht="12">
      <c r="A377" s="40" t="s">
        <v>656</v>
      </c>
      <c r="B377" s="67" t="s">
        <v>1988</v>
      </c>
      <c r="C377" s="97">
        <v>438</v>
      </c>
      <c r="D377" s="97">
        <v>430</v>
      </c>
      <c r="E377" s="97">
        <v>325</v>
      </c>
      <c r="F377" s="97">
        <v>99</v>
      </c>
      <c r="G377" s="97">
        <v>431</v>
      </c>
      <c r="H377" s="97">
        <v>245</v>
      </c>
      <c r="I377" s="98"/>
      <c r="J377" s="10">
        <f t="shared" si="15"/>
        <v>2.6280000000000001</v>
      </c>
      <c r="K377" s="11">
        <v>6</v>
      </c>
      <c r="L377" s="12">
        <f t="shared" si="16"/>
        <v>0.438</v>
      </c>
      <c r="M377" s="13">
        <f t="shared" si="17"/>
        <v>438</v>
      </c>
      <c r="N377" s="15"/>
    </row>
    <row r="378" spans="1:16" s="5" customFormat="1" ht="12">
      <c r="A378" s="40" t="s">
        <v>656</v>
      </c>
      <c r="B378" s="40" t="s">
        <v>1047</v>
      </c>
      <c r="C378" s="97">
        <v>406</v>
      </c>
      <c r="D378" s="97">
        <v>401</v>
      </c>
      <c r="E378" s="97">
        <v>345</v>
      </c>
      <c r="F378" s="97">
        <v>176</v>
      </c>
      <c r="G378" s="97">
        <v>397</v>
      </c>
      <c r="H378" s="97">
        <v>298</v>
      </c>
      <c r="I378" s="98"/>
      <c r="J378" s="10">
        <f t="shared" si="15"/>
        <v>2.4359999999999999</v>
      </c>
      <c r="K378" s="11">
        <v>6</v>
      </c>
      <c r="L378" s="12">
        <f t="shared" si="16"/>
        <v>0.40600000000000003</v>
      </c>
      <c r="M378" s="13">
        <f t="shared" si="17"/>
        <v>406</v>
      </c>
      <c r="N378" s="15"/>
    </row>
    <row r="379" spans="1:16" s="5" customFormat="1" ht="12">
      <c r="A379" s="40" t="s">
        <v>656</v>
      </c>
      <c r="B379" s="40" t="s">
        <v>1147</v>
      </c>
      <c r="C379" s="97">
        <v>353</v>
      </c>
      <c r="D379" s="97">
        <v>343</v>
      </c>
      <c r="E379" s="97">
        <v>276</v>
      </c>
      <c r="F379" s="97">
        <v>99</v>
      </c>
      <c r="G379" s="97">
        <v>344</v>
      </c>
      <c r="H379" s="97">
        <v>217</v>
      </c>
      <c r="I379" s="98"/>
      <c r="J379" s="10">
        <f t="shared" si="15"/>
        <v>2.1179999999999999</v>
      </c>
      <c r="K379" s="11">
        <v>6</v>
      </c>
      <c r="L379" s="12">
        <f t="shared" si="16"/>
        <v>0.35299999999999998</v>
      </c>
      <c r="M379" s="13">
        <f t="shared" si="17"/>
        <v>353</v>
      </c>
      <c r="N379" s="15"/>
    </row>
    <row r="380" spans="1:16" s="5" customFormat="1" ht="12">
      <c r="A380" s="40" t="s">
        <v>656</v>
      </c>
      <c r="B380" s="40" t="s">
        <v>1477</v>
      </c>
      <c r="C380" s="97">
        <v>301</v>
      </c>
      <c r="D380" s="97">
        <v>282</v>
      </c>
      <c r="E380" s="97">
        <v>221</v>
      </c>
      <c r="F380" s="97">
        <v>90</v>
      </c>
      <c r="G380" s="97">
        <v>299</v>
      </c>
      <c r="H380" s="97">
        <v>192</v>
      </c>
      <c r="I380" s="98"/>
      <c r="J380" s="10">
        <f t="shared" si="15"/>
        <v>1.806</v>
      </c>
      <c r="K380" s="11">
        <v>6</v>
      </c>
      <c r="L380" s="12">
        <f t="shared" si="16"/>
        <v>0.30099999999999999</v>
      </c>
      <c r="M380" s="13">
        <f t="shared" si="17"/>
        <v>301</v>
      </c>
      <c r="N380" s="15"/>
    </row>
    <row r="381" spans="1:16" s="5" customFormat="1" ht="12">
      <c r="A381" s="40" t="s">
        <v>656</v>
      </c>
      <c r="B381" s="40" t="s">
        <v>1638</v>
      </c>
      <c r="C381" s="97">
        <v>443</v>
      </c>
      <c r="D381" s="97">
        <v>422</v>
      </c>
      <c r="E381" s="97">
        <v>286</v>
      </c>
      <c r="F381" s="97">
        <v>109</v>
      </c>
      <c r="G381" s="97">
        <v>438</v>
      </c>
      <c r="H381" s="97">
        <v>255</v>
      </c>
      <c r="I381" s="98"/>
      <c r="J381" s="10">
        <f t="shared" si="15"/>
        <v>2.6579999999999999</v>
      </c>
      <c r="K381" s="11">
        <v>6</v>
      </c>
      <c r="L381" s="12">
        <f t="shared" si="16"/>
        <v>0.443</v>
      </c>
      <c r="M381" s="13">
        <f t="shared" si="17"/>
        <v>443</v>
      </c>
      <c r="N381" s="15"/>
    </row>
    <row r="382" spans="1:16" s="5" customFormat="1" ht="12">
      <c r="A382" s="40" t="s">
        <v>152</v>
      </c>
      <c r="B382" s="40" t="s">
        <v>153</v>
      </c>
      <c r="C382" s="97">
        <v>591</v>
      </c>
      <c r="D382" s="97">
        <v>581</v>
      </c>
      <c r="E382" s="97">
        <v>455</v>
      </c>
      <c r="F382" s="97">
        <v>127</v>
      </c>
      <c r="G382" s="97">
        <v>578</v>
      </c>
      <c r="H382" s="97">
        <v>272</v>
      </c>
      <c r="I382" s="98"/>
      <c r="J382" s="10">
        <f t="shared" si="15"/>
        <v>3.5459999999999998</v>
      </c>
      <c r="K382" s="11">
        <v>6</v>
      </c>
      <c r="L382" s="12">
        <f t="shared" si="16"/>
        <v>0.59099999999999997</v>
      </c>
      <c r="M382" s="13">
        <f t="shared" si="17"/>
        <v>591</v>
      </c>
      <c r="N382" s="15"/>
    </row>
    <row r="383" spans="1:16" s="5" customFormat="1" ht="12">
      <c r="A383" s="40" t="s">
        <v>152</v>
      </c>
      <c r="B383" s="40" t="s">
        <v>175</v>
      </c>
      <c r="C383" s="97">
        <v>363</v>
      </c>
      <c r="D383" s="97">
        <v>349</v>
      </c>
      <c r="E383" s="97">
        <v>271</v>
      </c>
      <c r="F383" s="97">
        <v>97</v>
      </c>
      <c r="G383" s="97">
        <v>353</v>
      </c>
      <c r="H383" s="97">
        <v>195</v>
      </c>
      <c r="I383" s="98"/>
      <c r="J383" s="10">
        <f t="shared" si="15"/>
        <v>2.1779999999999999</v>
      </c>
      <c r="K383" s="11">
        <v>6</v>
      </c>
      <c r="L383" s="12">
        <f t="shared" si="16"/>
        <v>0.36299999999999999</v>
      </c>
      <c r="M383" s="13">
        <f t="shared" si="17"/>
        <v>363</v>
      </c>
      <c r="N383" s="15"/>
    </row>
    <row r="384" spans="1:16" s="5" customFormat="1" ht="12">
      <c r="A384" s="40" t="s">
        <v>152</v>
      </c>
      <c r="B384" s="40" t="s">
        <v>247</v>
      </c>
      <c r="C384" s="97">
        <v>495</v>
      </c>
      <c r="D384" s="97">
        <v>482</v>
      </c>
      <c r="E384" s="97">
        <v>360</v>
      </c>
      <c r="F384" s="97">
        <v>130</v>
      </c>
      <c r="G384" s="97">
        <v>484</v>
      </c>
      <c r="H384" s="97">
        <v>285</v>
      </c>
      <c r="I384" s="98"/>
      <c r="J384" s="10">
        <f t="shared" si="15"/>
        <v>2.9699999999999998</v>
      </c>
      <c r="K384" s="11">
        <v>6</v>
      </c>
      <c r="L384" s="12">
        <f t="shared" si="16"/>
        <v>0.495</v>
      </c>
      <c r="M384" s="13">
        <f t="shared" si="17"/>
        <v>495</v>
      </c>
      <c r="N384" s="15"/>
    </row>
    <row r="385" spans="1:14" s="5" customFormat="1" ht="12">
      <c r="A385" s="40" t="s">
        <v>152</v>
      </c>
      <c r="B385" s="40" t="s">
        <v>455</v>
      </c>
      <c r="C385" s="97">
        <v>632</v>
      </c>
      <c r="D385" s="97">
        <v>627</v>
      </c>
      <c r="E385" s="97">
        <v>488</v>
      </c>
      <c r="F385" s="97">
        <v>171</v>
      </c>
      <c r="G385" s="97">
        <v>612</v>
      </c>
      <c r="H385" s="97">
        <v>386</v>
      </c>
      <c r="I385" s="98"/>
      <c r="J385" s="10">
        <f t="shared" si="15"/>
        <v>3.7919999999999998</v>
      </c>
      <c r="K385" s="11">
        <v>6</v>
      </c>
      <c r="L385" s="12">
        <f t="shared" si="16"/>
        <v>0.63200000000000001</v>
      </c>
      <c r="M385" s="13">
        <f t="shared" si="17"/>
        <v>632</v>
      </c>
      <c r="N385" s="15"/>
    </row>
    <row r="386" spans="1:14" s="5" customFormat="1" ht="12">
      <c r="A386" s="40" t="s">
        <v>152</v>
      </c>
      <c r="B386" s="40" t="s">
        <v>585</v>
      </c>
      <c r="C386" s="97">
        <v>671</v>
      </c>
      <c r="D386" s="97">
        <v>660</v>
      </c>
      <c r="E386" s="97">
        <v>526</v>
      </c>
      <c r="F386" s="97">
        <v>145</v>
      </c>
      <c r="G386" s="97">
        <v>658</v>
      </c>
      <c r="H386" s="97">
        <v>343</v>
      </c>
      <c r="I386" s="98"/>
      <c r="J386" s="10">
        <f t="shared" si="15"/>
        <v>4.0259999999999998</v>
      </c>
      <c r="K386" s="11">
        <v>6</v>
      </c>
      <c r="L386" s="12">
        <f t="shared" si="16"/>
        <v>0.67100000000000004</v>
      </c>
      <c r="M386" s="13">
        <f t="shared" si="17"/>
        <v>671</v>
      </c>
      <c r="N386" s="15"/>
    </row>
    <row r="387" spans="1:14" s="5" customFormat="1" ht="12">
      <c r="A387" s="40" t="s">
        <v>152</v>
      </c>
      <c r="B387" s="40" t="s">
        <v>613</v>
      </c>
      <c r="C387" s="97">
        <v>355</v>
      </c>
      <c r="D387" s="97">
        <v>343</v>
      </c>
      <c r="E387" s="97">
        <v>284</v>
      </c>
      <c r="F387" s="97">
        <v>73</v>
      </c>
      <c r="G387" s="97">
        <v>343</v>
      </c>
      <c r="H387" s="97">
        <v>198</v>
      </c>
      <c r="I387" s="98"/>
      <c r="J387" s="10">
        <f t="shared" si="15"/>
        <v>2.13</v>
      </c>
      <c r="K387" s="11">
        <v>6</v>
      </c>
      <c r="L387" s="12">
        <f t="shared" si="16"/>
        <v>0.35499999999999998</v>
      </c>
      <c r="M387" s="13">
        <f t="shared" si="17"/>
        <v>355</v>
      </c>
      <c r="N387" s="15"/>
    </row>
    <row r="388" spans="1:14" s="5" customFormat="1" ht="12">
      <c r="A388" s="40" t="s">
        <v>152</v>
      </c>
      <c r="B388" s="40" t="s">
        <v>631</v>
      </c>
      <c r="C388" s="97">
        <v>874</v>
      </c>
      <c r="D388" s="97">
        <v>851</v>
      </c>
      <c r="E388" s="97">
        <v>640</v>
      </c>
      <c r="F388" s="97">
        <v>204</v>
      </c>
      <c r="G388" s="97">
        <v>856</v>
      </c>
      <c r="H388" s="97">
        <v>469</v>
      </c>
      <c r="I388" s="98"/>
      <c r="J388" s="10">
        <f t="shared" si="15"/>
        <v>5.2439999999999998</v>
      </c>
      <c r="K388" s="11">
        <v>6</v>
      </c>
      <c r="L388" s="12">
        <f t="shared" si="16"/>
        <v>0.874</v>
      </c>
      <c r="M388" s="13">
        <f t="shared" si="17"/>
        <v>874</v>
      </c>
      <c r="N388" s="15"/>
    </row>
    <row r="389" spans="1:14" s="5" customFormat="1" ht="12">
      <c r="A389" s="40" t="s">
        <v>152</v>
      </c>
      <c r="B389" s="40" t="s">
        <v>825</v>
      </c>
      <c r="C389" s="97">
        <v>981</v>
      </c>
      <c r="D389" s="97">
        <v>942</v>
      </c>
      <c r="E389" s="97">
        <v>816</v>
      </c>
      <c r="F389" s="97">
        <v>227</v>
      </c>
      <c r="G389" s="97">
        <v>968</v>
      </c>
      <c r="H389" s="97">
        <v>556</v>
      </c>
      <c r="I389" s="98"/>
      <c r="J389" s="10">
        <f t="shared" si="15"/>
        <v>5.8860000000000001</v>
      </c>
      <c r="K389" s="11">
        <v>6</v>
      </c>
      <c r="L389" s="12">
        <f t="shared" si="16"/>
        <v>0.98099999999999998</v>
      </c>
      <c r="M389" s="13">
        <f t="shared" si="17"/>
        <v>981</v>
      </c>
      <c r="N389" s="15"/>
    </row>
    <row r="390" spans="1:14" s="5" customFormat="1" ht="12">
      <c r="A390" s="40" t="s">
        <v>152</v>
      </c>
      <c r="B390" s="40" t="s">
        <v>939</v>
      </c>
      <c r="C390" s="97">
        <v>344</v>
      </c>
      <c r="D390" s="97">
        <v>328</v>
      </c>
      <c r="E390" s="97">
        <v>280</v>
      </c>
      <c r="F390" s="97">
        <v>105</v>
      </c>
      <c r="G390" s="97">
        <v>341</v>
      </c>
      <c r="H390" s="97">
        <v>236</v>
      </c>
      <c r="I390" s="98"/>
      <c r="J390" s="10">
        <f t="shared" si="15"/>
        <v>2.0640000000000001</v>
      </c>
      <c r="K390" s="11">
        <v>6</v>
      </c>
      <c r="L390" s="12">
        <f t="shared" si="16"/>
        <v>0.34399999999999997</v>
      </c>
      <c r="M390" s="13">
        <f t="shared" si="17"/>
        <v>344</v>
      </c>
      <c r="N390" s="15"/>
    </row>
    <row r="391" spans="1:14" s="5" customFormat="1" ht="12">
      <c r="A391" s="40" t="s">
        <v>152</v>
      </c>
      <c r="B391" s="40" t="s">
        <v>983</v>
      </c>
      <c r="C391" s="97">
        <v>338</v>
      </c>
      <c r="D391" s="97">
        <v>329</v>
      </c>
      <c r="E391" s="97">
        <v>270</v>
      </c>
      <c r="F391" s="97">
        <v>82</v>
      </c>
      <c r="G391" s="97">
        <v>329</v>
      </c>
      <c r="H391" s="97">
        <v>176</v>
      </c>
      <c r="I391" s="98"/>
      <c r="J391" s="10">
        <f t="shared" si="15"/>
        <v>2.028</v>
      </c>
      <c r="K391" s="11">
        <v>6</v>
      </c>
      <c r="L391" s="12">
        <f t="shared" si="16"/>
        <v>0.33800000000000002</v>
      </c>
      <c r="M391" s="13">
        <f t="shared" si="17"/>
        <v>338</v>
      </c>
      <c r="N391" s="15"/>
    </row>
    <row r="392" spans="1:14" s="5" customFormat="1" ht="12">
      <c r="A392" s="40" t="s">
        <v>152</v>
      </c>
      <c r="B392" s="40" t="s">
        <v>1087</v>
      </c>
      <c r="C392" s="97">
        <v>420</v>
      </c>
      <c r="D392" s="97">
        <v>411</v>
      </c>
      <c r="E392" s="97">
        <v>292</v>
      </c>
      <c r="F392" s="97">
        <v>76</v>
      </c>
      <c r="G392" s="97">
        <v>407</v>
      </c>
      <c r="H392" s="97">
        <v>218</v>
      </c>
      <c r="I392" s="98"/>
      <c r="J392" s="10">
        <f t="shared" si="15"/>
        <v>2.52</v>
      </c>
      <c r="K392" s="11">
        <v>6</v>
      </c>
      <c r="L392" s="12">
        <f t="shared" si="16"/>
        <v>0.42</v>
      </c>
      <c r="M392" s="13">
        <f t="shared" si="17"/>
        <v>420</v>
      </c>
      <c r="N392" s="15"/>
    </row>
    <row r="393" spans="1:14" s="5" customFormat="1" ht="12">
      <c r="A393" s="40" t="s">
        <v>152</v>
      </c>
      <c r="B393" s="40" t="s">
        <v>1089</v>
      </c>
      <c r="C393" s="97">
        <v>552</v>
      </c>
      <c r="D393" s="97">
        <v>535</v>
      </c>
      <c r="E393" s="97">
        <v>426</v>
      </c>
      <c r="F393" s="97">
        <v>103</v>
      </c>
      <c r="G393" s="97">
        <v>552</v>
      </c>
      <c r="H393" s="97">
        <v>298</v>
      </c>
      <c r="I393" s="98"/>
      <c r="J393" s="10">
        <f t="shared" si="15"/>
        <v>3.3120000000000003</v>
      </c>
      <c r="K393" s="11">
        <v>6</v>
      </c>
      <c r="L393" s="12">
        <f t="shared" si="16"/>
        <v>0.55200000000000005</v>
      </c>
      <c r="M393" s="13">
        <f t="shared" si="17"/>
        <v>552</v>
      </c>
      <c r="N393" s="15"/>
    </row>
    <row r="394" spans="1:14" s="5" customFormat="1" ht="12">
      <c r="A394" s="40" t="s">
        <v>152</v>
      </c>
      <c r="B394" s="40" t="s">
        <v>1090</v>
      </c>
      <c r="C394" s="97">
        <v>301</v>
      </c>
      <c r="D394" s="97">
        <v>284</v>
      </c>
      <c r="E394" s="97">
        <v>238</v>
      </c>
      <c r="F394" s="97">
        <v>64</v>
      </c>
      <c r="G394" s="97">
        <v>301</v>
      </c>
      <c r="H394" s="97">
        <v>155</v>
      </c>
      <c r="I394" s="98"/>
      <c r="J394" s="10">
        <f t="shared" ref="J394:J457" si="18">+K394*L394</f>
        <v>1.806</v>
      </c>
      <c r="K394" s="11">
        <v>6</v>
      </c>
      <c r="L394" s="12">
        <f t="shared" ref="L394:L457" si="19">+M394/1000</f>
        <v>0.30099999999999999</v>
      </c>
      <c r="M394" s="13">
        <f t="shared" ref="M394:M457" si="20">+C394</f>
        <v>301</v>
      </c>
      <c r="N394" s="15"/>
    </row>
    <row r="395" spans="1:14" s="5" customFormat="1" ht="12">
      <c r="A395" s="40" t="s">
        <v>152</v>
      </c>
      <c r="B395" s="40" t="s">
        <v>1095</v>
      </c>
      <c r="C395" s="97">
        <v>432</v>
      </c>
      <c r="D395" s="97">
        <v>418</v>
      </c>
      <c r="E395" s="97">
        <v>344</v>
      </c>
      <c r="F395" s="97">
        <v>107</v>
      </c>
      <c r="G395" s="97">
        <v>433</v>
      </c>
      <c r="H395" s="97">
        <v>241</v>
      </c>
      <c r="I395" s="98"/>
      <c r="J395" s="10">
        <f t="shared" si="18"/>
        <v>2.5920000000000001</v>
      </c>
      <c r="K395" s="11">
        <v>6</v>
      </c>
      <c r="L395" s="12">
        <f t="shared" si="19"/>
        <v>0.432</v>
      </c>
      <c r="M395" s="13">
        <f t="shared" si="20"/>
        <v>432</v>
      </c>
      <c r="N395" s="15"/>
    </row>
    <row r="396" spans="1:14" s="5" customFormat="1" ht="12">
      <c r="A396" s="40" t="s">
        <v>152</v>
      </c>
      <c r="B396" s="40" t="s">
        <v>1112</v>
      </c>
      <c r="C396" s="97">
        <v>601</v>
      </c>
      <c r="D396" s="97">
        <v>583</v>
      </c>
      <c r="E396" s="97">
        <v>451</v>
      </c>
      <c r="F396" s="97">
        <v>134</v>
      </c>
      <c r="G396" s="97">
        <v>593</v>
      </c>
      <c r="H396" s="97">
        <v>326</v>
      </c>
      <c r="I396" s="98"/>
      <c r="J396" s="10">
        <f t="shared" si="18"/>
        <v>3.6059999999999999</v>
      </c>
      <c r="K396" s="11">
        <v>6</v>
      </c>
      <c r="L396" s="12">
        <f t="shared" si="19"/>
        <v>0.60099999999999998</v>
      </c>
      <c r="M396" s="13">
        <f t="shared" si="20"/>
        <v>601</v>
      </c>
      <c r="N396" s="15"/>
    </row>
    <row r="397" spans="1:14" s="5" customFormat="1" ht="12">
      <c r="A397" s="40" t="s">
        <v>152</v>
      </c>
      <c r="B397" s="40" t="s">
        <v>1124</v>
      </c>
      <c r="C397" s="97">
        <v>322</v>
      </c>
      <c r="D397" s="97">
        <v>312</v>
      </c>
      <c r="E397" s="97">
        <v>258</v>
      </c>
      <c r="F397" s="97">
        <v>103</v>
      </c>
      <c r="G397" s="97">
        <v>319</v>
      </c>
      <c r="H397" s="97">
        <v>195</v>
      </c>
      <c r="I397" s="98"/>
      <c r="J397" s="10">
        <f t="shared" si="18"/>
        <v>1.9319999999999999</v>
      </c>
      <c r="K397" s="11">
        <v>6</v>
      </c>
      <c r="L397" s="12">
        <f t="shared" si="19"/>
        <v>0.32200000000000001</v>
      </c>
      <c r="M397" s="13">
        <f t="shared" si="20"/>
        <v>322</v>
      </c>
      <c r="N397" s="15"/>
    </row>
    <row r="398" spans="1:14" s="5" customFormat="1" ht="12">
      <c r="A398" s="40" t="s">
        <v>152</v>
      </c>
      <c r="B398" s="40" t="s">
        <v>1129</v>
      </c>
      <c r="C398" s="97">
        <v>410</v>
      </c>
      <c r="D398" s="97">
        <v>399</v>
      </c>
      <c r="E398" s="97">
        <v>354</v>
      </c>
      <c r="F398" s="97">
        <v>105</v>
      </c>
      <c r="G398" s="97">
        <v>408</v>
      </c>
      <c r="H398" s="97">
        <v>254</v>
      </c>
      <c r="I398" s="98"/>
      <c r="J398" s="10">
        <f t="shared" si="18"/>
        <v>2.46</v>
      </c>
      <c r="K398" s="11">
        <v>6</v>
      </c>
      <c r="L398" s="12">
        <f t="shared" si="19"/>
        <v>0.41</v>
      </c>
      <c r="M398" s="13">
        <f t="shared" si="20"/>
        <v>410</v>
      </c>
      <c r="N398" s="15"/>
    </row>
    <row r="399" spans="1:14" s="5" customFormat="1" ht="12">
      <c r="A399" s="40" t="s">
        <v>152</v>
      </c>
      <c r="B399" s="40" t="s">
        <v>1158</v>
      </c>
      <c r="C399" s="97">
        <v>517</v>
      </c>
      <c r="D399" s="97">
        <v>509</v>
      </c>
      <c r="E399" s="97">
        <v>381</v>
      </c>
      <c r="F399" s="97">
        <v>105</v>
      </c>
      <c r="G399" s="97">
        <v>510</v>
      </c>
      <c r="H399" s="97">
        <v>261</v>
      </c>
      <c r="I399" s="98"/>
      <c r="J399" s="10">
        <f t="shared" si="18"/>
        <v>3.1020000000000003</v>
      </c>
      <c r="K399" s="11">
        <v>6</v>
      </c>
      <c r="L399" s="12">
        <f t="shared" si="19"/>
        <v>0.51700000000000002</v>
      </c>
      <c r="M399" s="13">
        <f t="shared" si="20"/>
        <v>517</v>
      </c>
      <c r="N399" s="15"/>
    </row>
    <row r="400" spans="1:14" s="5" customFormat="1" ht="12">
      <c r="A400" s="40" t="s">
        <v>152</v>
      </c>
      <c r="B400" s="40" t="s">
        <v>1170</v>
      </c>
      <c r="C400" s="97">
        <v>440</v>
      </c>
      <c r="D400" s="97">
        <v>429</v>
      </c>
      <c r="E400" s="97">
        <v>341</v>
      </c>
      <c r="F400" s="97">
        <v>117</v>
      </c>
      <c r="G400" s="97">
        <v>435</v>
      </c>
      <c r="H400" s="97">
        <v>260</v>
      </c>
      <c r="I400" s="98"/>
      <c r="J400" s="10">
        <f t="shared" si="18"/>
        <v>2.64</v>
      </c>
      <c r="K400" s="11">
        <v>6</v>
      </c>
      <c r="L400" s="12">
        <f t="shared" si="19"/>
        <v>0.44</v>
      </c>
      <c r="M400" s="13">
        <f t="shared" si="20"/>
        <v>440</v>
      </c>
      <c r="N400" s="15"/>
    </row>
    <row r="401" spans="1:16" s="5" customFormat="1" ht="12">
      <c r="A401" s="40" t="s">
        <v>152</v>
      </c>
      <c r="B401" s="40" t="s">
        <v>1959</v>
      </c>
      <c r="C401" s="97">
        <v>345</v>
      </c>
      <c r="D401" s="97">
        <v>336</v>
      </c>
      <c r="E401" s="97">
        <v>265</v>
      </c>
      <c r="F401" s="97">
        <v>75</v>
      </c>
      <c r="G401" s="97">
        <v>335</v>
      </c>
      <c r="H401" s="97">
        <v>185</v>
      </c>
      <c r="I401" s="98"/>
      <c r="J401" s="10">
        <f t="shared" si="18"/>
        <v>2.0699999999999998</v>
      </c>
      <c r="K401" s="11">
        <v>6</v>
      </c>
      <c r="L401" s="12">
        <f t="shared" si="19"/>
        <v>0.34499999999999997</v>
      </c>
      <c r="M401" s="13">
        <f t="shared" si="20"/>
        <v>345</v>
      </c>
      <c r="N401" s="15"/>
    </row>
    <row r="402" spans="1:16" s="5" customFormat="1" ht="12">
      <c r="A402" s="40" t="s">
        <v>152</v>
      </c>
      <c r="B402" s="40" t="s">
        <v>1360</v>
      </c>
      <c r="C402" s="97">
        <v>691</v>
      </c>
      <c r="D402" s="97">
        <v>673</v>
      </c>
      <c r="E402" s="97">
        <v>541</v>
      </c>
      <c r="F402" s="97">
        <v>206</v>
      </c>
      <c r="G402" s="97">
        <v>679</v>
      </c>
      <c r="H402" s="97">
        <v>393</v>
      </c>
      <c r="I402" s="98"/>
      <c r="J402" s="10">
        <f t="shared" si="18"/>
        <v>4.1459999999999999</v>
      </c>
      <c r="K402" s="11">
        <v>6</v>
      </c>
      <c r="L402" s="12">
        <f t="shared" si="19"/>
        <v>0.69099999999999995</v>
      </c>
      <c r="M402" s="13">
        <f t="shared" si="20"/>
        <v>691</v>
      </c>
      <c r="N402" s="15"/>
    </row>
    <row r="403" spans="1:16" s="5" customFormat="1" ht="12">
      <c r="A403" s="40" t="s">
        <v>152</v>
      </c>
      <c r="B403" s="40" t="s">
        <v>1381</v>
      </c>
      <c r="C403" s="97">
        <v>527</v>
      </c>
      <c r="D403" s="97">
        <v>512</v>
      </c>
      <c r="E403" s="97">
        <v>431</v>
      </c>
      <c r="F403" s="97">
        <v>129</v>
      </c>
      <c r="G403" s="97">
        <v>522</v>
      </c>
      <c r="H403" s="97">
        <v>273</v>
      </c>
      <c r="I403" s="98"/>
      <c r="J403" s="10">
        <f t="shared" si="18"/>
        <v>3.1619999999999999</v>
      </c>
      <c r="K403" s="11">
        <v>6</v>
      </c>
      <c r="L403" s="12">
        <f t="shared" si="19"/>
        <v>0.52700000000000002</v>
      </c>
      <c r="M403" s="13">
        <f t="shared" si="20"/>
        <v>527</v>
      </c>
      <c r="N403" s="15"/>
    </row>
    <row r="404" spans="1:16" s="5" customFormat="1" ht="12">
      <c r="A404" s="40" t="s">
        <v>152</v>
      </c>
      <c r="B404" s="40" t="s">
        <v>1490</v>
      </c>
      <c r="C404" s="97">
        <v>780</v>
      </c>
      <c r="D404" s="97">
        <v>775</v>
      </c>
      <c r="E404" s="97">
        <v>637</v>
      </c>
      <c r="F404" s="97">
        <v>252</v>
      </c>
      <c r="G404" s="97">
        <v>774</v>
      </c>
      <c r="H404" s="97">
        <v>521</v>
      </c>
      <c r="I404" s="98"/>
      <c r="J404" s="10">
        <f t="shared" si="18"/>
        <v>4.68</v>
      </c>
      <c r="K404" s="11">
        <v>6</v>
      </c>
      <c r="L404" s="12">
        <f t="shared" si="19"/>
        <v>0.78</v>
      </c>
      <c r="M404" s="13">
        <f t="shared" si="20"/>
        <v>780</v>
      </c>
      <c r="N404" s="15"/>
    </row>
    <row r="405" spans="1:16" s="5" customFormat="1" ht="12">
      <c r="A405" s="40" t="s">
        <v>152</v>
      </c>
      <c r="B405" s="40" t="s">
        <v>1599</v>
      </c>
      <c r="C405" s="97">
        <v>487</v>
      </c>
      <c r="D405" s="97">
        <v>476</v>
      </c>
      <c r="E405" s="97">
        <v>403</v>
      </c>
      <c r="F405" s="97">
        <v>133</v>
      </c>
      <c r="G405" s="97">
        <v>485</v>
      </c>
      <c r="H405" s="97">
        <v>290</v>
      </c>
      <c r="I405" s="98"/>
      <c r="J405" s="10">
        <f t="shared" si="18"/>
        <v>2.9219999999999997</v>
      </c>
      <c r="K405" s="11">
        <v>6</v>
      </c>
      <c r="L405" s="12">
        <f t="shared" si="19"/>
        <v>0.48699999999999999</v>
      </c>
      <c r="M405" s="13">
        <f t="shared" si="20"/>
        <v>487</v>
      </c>
      <c r="N405" s="15"/>
    </row>
    <row r="406" spans="1:16" s="5" customFormat="1" ht="12">
      <c r="A406" s="40" t="s">
        <v>152</v>
      </c>
      <c r="B406" s="40" t="s">
        <v>1605</v>
      </c>
      <c r="C406" s="97">
        <v>345</v>
      </c>
      <c r="D406" s="97">
        <v>336</v>
      </c>
      <c r="E406" s="97">
        <v>246</v>
      </c>
      <c r="F406" s="97">
        <v>73</v>
      </c>
      <c r="G406" s="97">
        <v>335</v>
      </c>
      <c r="H406" s="97">
        <v>178</v>
      </c>
      <c r="I406" s="98"/>
      <c r="J406" s="10">
        <f t="shared" si="18"/>
        <v>2.0699999999999998</v>
      </c>
      <c r="K406" s="11">
        <v>6</v>
      </c>
      <c r="L406" s="12">
        <f t="shared" si="19"/>
        <v>0.34499999999999997</v>
      </c>
      <c r="M406" s="13">
        <f t="shared" si="20"/>
        <v>345</v>
      </c>
      <c r="N406" s="15"/>
    </row>
    <row r="407" spans="1:16" s="5" customFormat="1" ht="12">
      <c r="A407" s="40" t="s">
        <v>152</v>
      </c>
      <c r="B407" s="40" t="s">
        <v>1732</v>
      </c>
      <c r="C407" s="97">
        <v>664</v>
      </c>
      <c r="D407" s="97">
        <v>648</v>
      </c>
      <c r="E407" s="97">
        <v>541</v>
      </c>
      <c r="F407" s="97">
        <v>164</v>
      </c>
      <c r="G407" s="97">
        <v>658</v>
      </c>
      <c r="H407" s="97">
        <v>348</v>
      </c>
      <c r="I407" s="98"/>
      <c r="J407" s="10">
        <f t="shared" si="18"/>
        <v>3.984</v>
      </c>
      <c r="K407" s="11">
        <v>6</v>
      </c>
      <c r="L407" s="12">
        <f t="shared" si="19"/>
        <v>0.66400000000000003</v>
      </c>
      <c r="M407" s="13">
        <f t="shared" si="20"/>
        <v>664</v>
      </c>
      <c r="N407" s="15"/>
    </row>
    <row r="408" spans="1:16" s="5" customFormat="1" ht="12">
      <c r="A408" s="40" t="s">
        <v>152</v>
      </c>
      <c r="B408" s="40" t="s">
        <v>1829</v>
      </c>
      <c r="C408" s="97">
        <v>420</v>
      </c>
      <c r="D408" s="97">
        <v>401</v>
      </c>
      <c r="E408" s="97">
        <v>341</v>
      </c>
      <c r="F408" s="97">
        <v>102</v>
      </c>
      <c r="G408" s="97">
        <v>414</v>
      </c>
      <c r="H408" s="97">
        <v>223</v>
      </c>
      <c r="I408" s="98"/>
      <c r="J408" s="10">
        <f t="shared" si="18"/>
        <v>2.52</v>
      </c>
      <c r="K408" s="11">
        <v>6</v>
      </c>
      <c r="L408" s="12">
        <f t="shared" si="19"/>
        <v>0.42</v>
      </c>
      <c r="M408" s="13">
        <f t="shared" si="20"/>
        <v>420</v>
      </c>
      <c r="N408" s="15"/>
    </row>
    <row r="409" spans="1:16" s="5" customFormat="1" ht="12">
      <c r="A409" s="40" t="s">
        <v>152</v>
      </c>
      <c r="B409" s="40" t="s">
        <v>1960</v>
      </c>
      <c r="C409" s="97">
        <v>1101</v>
      </c>
      <c r="D409" s="97">
        <v>1082</v>
      </c>
      <c r="E409" s="97">
        <v>929</v>
      </c>
      <c r="F409" s="97">
        <v>323</v>
      </c>
      <c r="G409" s="97">
        <v>1092</v>
      </c>
      <c r="H409" s="97">
        <v>726</v>
      </c>
      <c r="I409" s="98"/>
      <c r="J409" s="10">
        <f t="shared" si="18"/>
        <v>6.6059999999999999</v>
      </c>
      <c r="K409" s="11">
        <v>6</v>
      </c>
      <c r="L409" s="12">
        <f t="shared" si="19"/>
        <v>1.101</v>
      </c>
      <c r="M409" s="13">
        <f t="shared" si="20"/>
        <v>1101</v>
      </c>
      <c r="N409" s="15"/>
    </row>
    <row r="410" spans="1:16" s="75" customFormat="1" ht="12">
      <c r="A410" s="40" t="s">
        <v>24</v>
      </c>
      <c r="B410" s="40" t="s">
        <v>141</v>
      </c>
      <c r="C410" s="97">
        <v>348</v>
      </c>
      <c r="D410" s="97">
        <v>345</v>
      </c>
      <c r="E410" s="97">
        <v>267</v>
      </c>
      <c r="F410" s="97">
        <v>68</v>
      </c>
      <c r="G410" s="97">
        <v>336</v>
      </c>
      <c r="H410" s="97">
        <v>187</v>
      </c>
      <c r="I410" s="98"/>
      <c r="J410" s="10">
        <f t="shared" si="18"/>
        <v>2.0880000000000001</v>
      </c>
      <c r="K410" s="11">
        <v>6</v>
      </c>
      <c r="L410" s="12">
        <f t="shared" si="19"/>
        <v>0.34799999999999998</v>
      </c>
      <c r="M410" s="13">
        <f t="shared" si="20"/>
        <v>348</v>
      </c>
      <c r="N410" s="15"/>
      <c r="O410" s="5"/>
      <c r="P410" s="5"/>
    </row>
    <row r="411" spans="1:16" s="75" customFormat="1" ht="12">
      <c r="A411" s="40" t="s">
        <v>24</v>
      </c>
      <c r="B411" s="40" t="s">
        <v>262</v>
      </c>
      <c r="C411" s="97">
        <v>1106</v>
      </c>
      <c r="D411" s="97">
        <v>1065</v>
      </c>
      <c r="E411" s="97">
        <v>961</v>
      </c>
      <c r="F411" s="97">
        <v>339</v>
      </c>
      <c r="G411" s="97">
        <v>1082</v>
      </c>
      <c r="H411" s="97">
        <v>775</v>
      </c>
      <c r="I411" s="98"/>
      <c r="J411" s="10">
        <f t="shared" si="18"/>
        <v>6.636000000000001</v>
      </c>
      <c r="K411" s="11">
        <v>6</v>
      </c>
      <c r="L411" s="12">
        <f t="shared" si="19"/>
        <v>1.1060000000000001</v>
      </c>
      <c r="M411" s="13">
        <f t="shared" si="20"/>
        <v>1106</v>
      </c>
      <c r="N411" s="15"/>
      <c r="O411" s="5"/>
      <c r="P411" s="5"/>
    </row>
    <row r="412" spans="1:16" s="75" customFormat="1" ht="12">
      <c r="A412" s="40" t="s">
        <v>24</v>
      </c>
      <c r="B412" s="40" t="s">
        <v>295</v>
      </c>
      <c r="C412" s="97">
        <v>357</v>
      </c>
      <c r="D412" s="97">
        <v>344</v>
      </c>
      <c r="E412" s="97">
        <v>277</v>
      </c>
      <c r="F412" s="97">
        <v>66</v>
      </c>
      <c r="G412" s="97">
        <v>354</v>
      </c>
      <c r="H412" s="97">
        <v>182</v>
      </c>
      <c r="I412" s="98"/>
      <c r="J412" s="10">
        <f t="shared" si="18"/>
        <v>2.1419999999999999</v>
      </c>
      <c r="K412" s="11">
        <v>6</v>
      </c>
      <c r="L412" s="12">
        <f t="shared" si="19"/>
        <v>0.35699999999999998</v>
      </c>
      <c r="M412" s="13">
        <f t="shared" si="20"/>
        <v>357</v>
      </c>
      <c r="N412" s="15"/>
      <c r="O412" s="5"/>
      <c r="P412" s="5"/>
    </row>
    <row r="413" spans="1:16" s="75" customFormat="1" ht="12">
      <c r="A413" s="40" t="s">
        <v>24</v>
      </c>
      <c r="B413" s="40" t="s">
        <v>339</v>
      </c>
      <c r="C413" s="97">
        <v>536</v>
      </c>
      <c r="D413" s="97">
        <v>526</v>
      </c>
      <c r="E413" s="97">
        <v>432</v>
      </c>
      <c r="F413" s="97">
        <v>121</v>
      </c>
      <c r="G413" s="97">
        <v>529</v>
      </c>
      <c r="H413" s="97">
        <v>310</v>
      </c>
      <c r="I413" s="98"/>
      <c r="J413" s="10">
        <f t="shared" si="18"/>
        <v>3.2160000000000002</v>
      </c>
      <c r="K413" s="11">
        <v>6</v>
      </c>
      <c r="L413" s="12">
        <f t="shared" si="19"/>
        <v>0.53600000000000003</v>
      </c>
      <c r="M413" s="13">
        <f t="shared" si="20"/>
        <v>536</v>
      </c>
      <c r="N413" s="15"/>
      <c r="O413" s="5"/>
      <c r="P413" s="5"/>
    </row>
    <row r="414" spans="1:16" s="75" customFormat="1" ht="12">
      <c r="A414" s="40" t="s">
        <v>24</v>
      </c>
      <c r="B414" s="40" t="s">
        <v>343</v>
      </c>
      <c r="C414" s="97">
        <v>366</v>
      </c>
      <c r="D414" s="97">
        <v>363</v>
      </c>
      <c r="E414" s="97">
        <v>255</v>
      </c>
      <c r="F414" s="97">
        <v>74</v>
      </c>
      <c r="G414" s="97">
        <v>353</v>
      </c>
      <c r="H414" s="97">
        <v>200</v>
      </c>
      <c r="I414" s="98"/>
      <c r="J414" s="10">
        <f t="shared" si="18"/>
        <v>2.1959999999999997</v>
      </c>
      <c r="K414" s="11">
        <v>6</v>
      </c>
      <c r="L414" s="12">
        <f t="shared" si="19"/>
        <v>0.36599999999999999</v>
      </c>
      <c r="M414" s="13">
        <f t="shared" si="20"/>
        <v>366</v>
      </c>
      <c r="N414" s="15"/>
      <c r="O414" s="5"/>
      <c r="P414" s="5"/>
    </row>
    <row r="415" spans="1:16" s="75" customFormat="1" ht="12">
      <c r="A415" s="40" t="s">
        <v>24</v>
      </c>
      <c r="B415" s="40" t="s">
        <v>436</v>
      </c>
      <c r="C415" s="97">
        <v>533</v>
      </c>
      <c r="D415" s="97">
        <v>520</v>
      </c>
      <c r="E415" s="97">
        <v>429</v>
      </c>
      <c r="F415" s="97">
        <v>97</v>
      </c>
      <c r="G415" s="97">
        <v>524</v>
      </c>
      <c r="H415" s="97">
        <v>259</v>
      </c>
      <c r="I415" s="98"/>
      <c r="J415" s="10">
        <f t="shared" si="18"/>
        <v>3.1980000000000004</v>
      </c>
      <c r="K415" s="11">
        <v>6</v>
      </c>
      <c r="L415" s="12">
        <f t="shared" si="19"/>
        <v>0.53300000000000003</v>
      </c>
      <c r="M415" s="13">
        <f t="shared" si="20"/>
        <v>533</v>
      </c>
      <c r="N415" s="15"/>
      <c r="O415" s="5"/>
      <c r="P415" s="5"/>
    </row>
    <row r="416" spans="1:16" s="75" customFormat="1" ht="12">
      <c r="A416" s="40" t="s">
        <v>24</v>
      </c>
      <c r="B416" s="40" t="s">
        <v>523</v>
      </c>
      <c r="C416" s="97">
        <v>445</v>
      </c>
      <c r="D416" s="97">
        <v>439</v>
      </c>
      <c r="E416" s="97">
        <v>380</v>
      </c>
      <c r="F416" s="97">
        <v>139</v>
      </c>
      <c r="G416" s="97">
        <v>437</v>
      </c>
      <c r="H416" s="97">
        <v>283</v>
      </c>
      <c r="I416" s="98"/>
      <c r="J416" s="10">
        <f t="shared" si="18"/>
        <v>2.67</v>
      </c>
      <c r="K416" s="11">
        <v>6</v>
      </c>
      <c r="L416" s="12">
        <f t="shared" si="19"/>
        <v>0.44500000000000001</v>
      </c>
      <c r="M416" s="13">
        <f t="shared" si="20"/>
        <v>445</v>
      </c>
      <c r="N416" s="15"/>
      <c r="O416" s="5"/>
      <c r="P416" s="5"/>
    </row>
    <row r="417" spans="1:16" s="75" customFormat="1" ht="12">
      <c r="A417" s="40" t="s">
        <v>24</v>
      </c>
      <c r="B417" s="40" t="s">
        <v>533</v>
      </c>
      <c r="C417" s="97">
        <v>366</v>
      </c>
      <c r="D417" s="97">
        <v>357</v>
      </c>
      <c r="E417" s="97">
        <v>253</v>
      </c>
      <c r="F417" s="97">
        <v>70</v>
      </c>
      <c r="G417" s="97">
        <v>358</v>
      </c>
      <c r="H417" s="97">
        <v>200</v>
      </c>
      <c r="I417" s="98"/>
      <c r="J417" s="10">
        <f t="shared" si="18"/>
        <v>2.1959999999999997</v>
      </c>
      <c r="K417" s="11">
        <v>6</v>
      </c>
      <c r="L417" s="12">
        <f t="shared" si="19"/>
        <v>0.36599999999999999</v>
      </c>
      <c r="M417" s="13">
        <f t="shared" si="20"/>
        <v>366</v>
      </c>
      <c r="N417" s="15"/>
      <c r="O417" s="5"/>
      <c r="P417" s="5"/>
    </row>
    <row r="418" spans="1:16" s="75" customFormat="1" ht="12">
      <c r="A418" s="40" t="s">
        <v>24</v>
      </c>
      <c r="B418" s="40" t="s">
        <v>550</v>
      </c>
      <c r="C418" s="97">
        <v>447</v>
      </c>
      <c r="D418" s="97">
        <v>433</v>
      </c>
      <c r="E418" s="97">
        <v>344</v>
      </c>
      <c r="F418" s="97">
        <v>106</v>
      </c>
      <c r="G418" s="97">
        <v>438</v>
      </c>
      <c r="H418" s="97">
        <v>281</v>
      </c>
      <c r="I418" s="98"/>
      <c r="J418" s="10">
        <f t="shared" si="18"/>
        <v>2.6819999999999999</v>
      </c>
      <c r="K418" s="11">
        <v>6</v>
      </c>
      <c r="L418" s="12">
        <f t="shared" si="19"/>
        <v>0.44700000000000001</v>
      </c>
      <c r="M418" s="13">
        <f t="shared" si="20"/>
        <v>447</v>
      </c>
      <c r="N418" s="15"/>
      <c r="O418" s="5"/>
      <c r="P418" s="5"/>
    </row>
    <row r="419" spans="1:16" s="75" customFormat="1" ht="12">
      <c r="A419" s="40" t="s">
        <v>24</v>
      </c>
      <c r="B419" s="40" t="s">
        <v>730</v>
      </c>
      <c r="C419" s="97">
        <v>321</v>
      </c>
      <c r="D419" s="97">
        <v>309</v>
      </c>
      <c r="E419" s="97">
        <v>283</v>
      </c>
      <c r="F419" s="97">
        <v>111</v>
      </c>
      <c r="G419" s="97">
        <v>317</v>
      </c>
      <c r="H419" s="97">
        <v>233</v>
      </c>
      <c r="I419" s="98"/>
      <c r="J419" s="10">
        <f t="shared" si="18"/>
        <v>1.9260000000000002</v>
      </c>
      <c r="K419" s="11">
        <v>6</v>
      </c>
      <c r="L419" s="12">
        <f t="shared" si="19"/>
        <v>0.32100000000000001</v>
      </c>
      <c r="M419" s="13">
        <f t="shared" si="20"/>
        <v>321</v>
      </c>
      <c r="N419" s="15"/>
      <c r="O419" s="5"/>
      <c r="P419" s="5"/>
    </row>
    <row r="420" spans="1:16" s="75" customFormat="1" ht="12">
      <c r="A420" s="40" t="s">
        <v>24</v>
      </c>
      <c r="B420" s="40" t="s">
        <v>745</v>
      </c>
      <c r="C420" s="97">
        <v>690</v>
      </c>
      <c r="D420" s="97">
        <v>675</v>
      </c>
      <c r="E420" s="97">
        <v>575</v>
      </c>
      <c r="F420" s="97">
        <v>126</v>
      </c>
      <c r="G420" s="97">
        <v>687</v>
      </c>
      <c r="H420" s="97">
        <v>380</v>
      </c>
      <c r="I420" s="98"/>
      <c r="J420" s="10">
        <f t="shared" si="18"/>
        <v>4.1399999999999997</v>
      </c>
      <c r="K420" s="11">
        <v>6</v>
      </c>
      <c r="L420" s="12">
        <f t="shared" si="19"/>
        <v>0.69</v>
      </c>
      <c r="M420" s="13">
        <f t="shared" si="20"/>
        <v>690</v>
      </c>
      <c r="N420" s="15"/>
      <c r="O420" s="5"/>
      <c r="P420" s="5"/>
    </row>
    <row r="421" spans="1:16" s="75" customFormat="1" ht="12">
      <c r="A421" s="40" t="s">
        <v>24</v>
      </c>
      <c r="B421" s="40" t="s">
        <v>801</v>
      </c>
      <c r="C421" s="97">
        <v>337</v>
      </c>
      <c r="D421" s="97">
        <v>327</v>
      </c>
      <c r="E421" s="97">
        <v>273</v>
      </c>
      <c r="F421" s="97">
        <v>70</v>
      </c>
      <c r="G421" s="97">
        <v>336</v>
      </c>
      <c r="H421" s="97">
        <v>187</v>
      </c>
      <c r="I421" s="98"/>
      <c r="J421" s="10">
        <f t="shared" si="18"/>
        <v>2.0220000000000002</v>
      </c>
      <c r="K421" s="11">
        <v>6</v>
      </c>
      <c r="L421" s="12">
        <f t="shared" si="19"/>
        <v>0.33700000000000002</v>
      </c>
      <c r="M421" s="13">
        <f t="shared" si="20"/>
        <v>337</v>
      </c>
      <c r="N421" s="15"/>
      <c r="O421" s="5"/>
      <c r="P421" s="5"/>
    </row>
    <row r="422" spans="1:16" s="75" customFormat="1" ht="12">
      <c r="A422" s="40" t="s">
        <v>24</v>
      </c>
      <c r="B422" s="40" t="s">
        <v>807</v>
      </c>
      <c r="C422" s="97">
        <v>399</v>
      </c>
      <c r="D422" s="97">
        <v>389</v>
      </c>
      <c r="E422" s="97">
        <v>345</v>
      </c>
      <c r="F422" s="97">
        <v>69</v>
      </c>
      <c r="G422" s="97">
        <v>390</v>
      </c>
      <c r="H422" s="97">
        <v>216</v>
      </c>
      <c r="I422" s="98"/>
      <c r="J422" s="10">
        <f t="shared" si="18"/>
        <v>2.3940000000000001</v>
      </c>
      <c r="K422" s="11">
        <v>6</v>
      </c>
      <c r="L422" s="12">
        <f t="shared" si="19"/>
        <v>0.39900000000000002</v>
      </c>
      <c r="M422" s="13">
        <f t="shared" si="20"/>
        <v>399</v>
      </c>
      <c r="N422" s="15"/>
      <c r="O422" s="5"/>
      <c r="P422" s="5"/>
    </row>
    <row r="423" spans="1:16" s="75" customFormat="1" ht="12">
      <c r="A423" s="40" t="s">
        <v>24</v>
      </c>
      <c r="B423" s="40" t="s">
        <v>816</v>
      </c>
      <c r="C423" s="97">
        <v>792</v>
      </c>
      <c r="D423" s="97">
        <v>789</v>
      </c>
      <c r="E423" s="97">
        <v>667</v>
      </c>
      <c r="F423" s="97">
        <v>145</v>
      </c>
      <c r="G423" s="97">
        <v>780</v>
      </c>
      <c r="H423" s="97">
        <v>438</v>
      </c>
      <c r="I423" s="98"/>
      <c r="J423" s="10">
        <f t="shared" si="18"/>
        <v>4.7520000000000007</v>
      </c>
      <c r="K423" s="11">
        <v>6</v>
      </c>
      <c r="L423" s="12">
        <f t="shared" si="19"/>
        <v>0.79200000000000004</v>
      </c>
      <c r="M423" s="13">
        <f t="shared" si="20"/>
        <v>792</v>
      </c>
      <c r="N423" s="15"/>
      <c r="O423" s="5"/>
      <c r="P423" s="5"/>
    </row>
    <row r="424" spans="1:16" s="75" customFormat="1" ht="12">
      <c r="A424" s="40" t="s">
        <v>24</v>
      </c>
      <c r="B424" s="40" t="s">
        <v>871</v>
      </c>
      <c r="C424" s="97">
        <v>563</v>
      </c>
      <c r="D424" s="97">
        <v>558</v>
      </c>
      <c r="E424" s="97">
        <v>482</v>
      </c>
      <c r="F424" s="97">
        <v>143</v>
      </c>
      <c r="G424" s="97">
        <v>549</v>
      </c>
      <c r="H424" s="97">
        <v>348</v>
      </c>
      <c r="I424" s="98"/>
      <c r="J424" s="10">
        <f t="shared" si="18"/>
        <v>3.3779999999999997</v>
      </c>
      <c r="K424" s="11">
        <v>6</v>
      </c>
      <c r="L424" s="12">
        <f t="shared" si="19"/>
        <v>0.56299999999999994</v>
      </c>
      <c r="M424" s="13">
        <f t="shared" si="20"/>
        <v>563</v>
      </c>
      <c r="N424" s="15"/>
      <c r="O424" s="5"/>
      <c r="P424" s="5"/>
    </row>
    <row r="425" spans="1:16" s="75" customFormat="1" ht="12">
      <c r="A425" s="40" t="s">
        <v>24</v>
      </c>
      <c r="B425" s="40" t="s">
        <v>895</v>
      </c>
      <c r="C425" s="97">
        <v>747</v>
      </c>
      <c r="D425" s="97">
        <v>728</v>
      </c>
      <c r="E425" s="97">
        <v>588</v>
      </c>
      <c r="F425" s="97">
        <v>179</v>
      </c>
      <c r="G425" s="97">
        <v>736</v>
      </c>
      <c r="H425" s="97">
        <v>435</v>
      </c>
      <c r="I425" s="98"/>
      <c r="J425" s="10">
        <f t="shared" si="18"/>
        <v>4.4820000000000002</v>
      </c>
      <c r="K425" s="11">
        <v>6</v>
      </c>
      <c r="L425" s="12">
        <f t="shared" si="19"/>
        <v>0.747</v>
      </c>
      <c r="M425" s="13">
        <f t="shared" si="20"/>
        <v>747</v>
      </c>
      <c r="N425" s="15"/>
      <c r="O425" s="5"/>
      <c r="P425" s="5"/>
    </row>
    <row r="426" spans="1:16" s="75" customFormat="1" ht="12">
      <c r="A426" s="40" t="s">
        <v>24</v>
      </c>
      <c r="B426" s="40" t="s">
        <v>900</v>
      </c>
      <c r="C426" s="97">
        <v>876</v>
      </c>
      <c r="D426" s="97">
        <v>875</v>
      </c>
      <c r="E426" s="97">
        <v>717</v>
      </c>
      <c r="F426" s="97">
        <v>202</v>
      </c>
      <c r="G426" s="97">
        <v>849</v>
      </c>
      <c r="H426" s="97">
        <v>501</v>
      </c>
      <c r="I426" s="98"/>
      <c r="J426" s="10">
        <f t="shared" si="18"/>
        <v>5.2560000000000002</v>
      </c>
      <c r="K426" s="11">
        <v>6</v>
      </c>
      <c r="L426" s="12">
        <f t="shared" si="19"/>
        <v>0.876</v>
      </c>
      <c r="M426" s="13">
        <f t="shared" si="20"/>
        <v>876</v>
      </c>
      <c r="N426" s="15"/>
      <c r="O426" s="5"/>
      <c r="P426" s="5"/>
    </row>
    <row r="427" spans="1:16" s="75" customFormat="1" ht="12">
      <c r="A427" s="40" t="s">
        <v>24</v>
      </c>
      <c r="B427" s="40" t="s">
        <v>901</v>
      </c>
      <c r="C427" s="97">
        <v>311</v>
      </c>
      <c r="D427" s="97">
        <v>305</v>
      </c>
      <c r="E427" s="97">
        <v>248</v>
      </c>
      <c r="F427" s="97">
        <v>65</v>
      </c>
      <c r="G427" s="97">
        <v>302</v>
      </c>
      <c r="H427" s="97">
        <v>183</v>
      </c>
      <c r="I427" s="98"/>
      <c r="J427" s="10">
        <f t="shared" si="18"/>
        <v>1.8660000000000001</v>
      </c>
      <c r="K427" s="11">
        <v>6</v>
      </c>
      <c r="L427" s="12">
        <f t="shared" si="19"/>
        <v>0.311</v>
      </c>
      <c r="M427" s="13">
        <f t="shared" si="20"/>
        <v>311</v>
      </c>
      <c r="N427" s="15"/>
      <c r="O427" s="5"/>
      <c r="P427" s="5"/>
    </row>
    <row r="428" spans="1:16" s="75" customFormat="1" ht="12">
      <c r="A428" s="40" t="s">
        <v>24</v>
      </c>
      <c r="B428" s="40" t="s">
        <v>1007</v>
      </c>
      <c r="C428" s="97">
        <v>360</v>
      </c>
      <c r="D428" s="97">
        <v>348</v>
      </c>
      <c r="E428" s="97">
        <v>298</v>
      </c>
      <c r="F428" s="97">
        <v>66</v>
      </c>
      <c r="G428" s="97">
        <v>353</v>
      </c>
      <c r="H428" s="97">
        <v>179</v>
      </c>
      <c r="I428" s="98"/>
      <c r="J428" s="10">
        <f t="shared" si="18"/>
        <v>2.16</v>
      </c>
      <c r="K428" s="11">
        <v>6</v>
      </c>
      <c r="L428" s="12">
        <f t="shared" si="19"/>
        <v>0.36</v>
      </c>
      <c r="M428" s="13">
        <f t="shared" si="20"/>
        <v>360</v>
      </c>
      <c r="N428" s="15"/>
      <c r="O428" s="5"/>
      <c r="P428" s="5"/>
    </row>
    <row r="429" spans="1:16" s="75" customFormat="1" ht="12">
      <c r="A429" s="40" t="s">
        <v>24</v>
      </c>
      <c r="B429" s="40" t="s">
        <v>1028</v>
      </c>
      <c r="C429" s="97">
        <v>323</v>
      </c>
      <c r="D429" s="97">
        <v>312</v>
      </c>
      <c r="E429" s="97">
        <v>253</v>
      </c>
      <c r="F429" s="97">
        <v>48</v>
      </c>
      <c r="G429" s="97">
        <v>318</v>
      </c>
      <c r="H429" s="97">
        <v>162</v>
      </c>
      <c r="I429" s="98"/>
      <c r="J429" s="10">
        <f t="shared" si="18"/>
        <v>1.9380000000000002</v>
      </c>
      <c r="K429" s="11">
        <v>6</v>
      </c>
      <c r="L429" s="12">
        <f t="shared" si="19"/>
        <v>0.32300000000000001</v>
      </c>
      <c r="M429" s="13">
        <f t="shared" si="20"/>
        <v>323</v>
      </c>
      <c r="N429" s="15"/>
      <c r="O429" s="5"/>
      <c r="P429" s="5"/>
    </row>
    <row r="430" spans="1:16" s="75" customFormat="1" ht="12">
      <c r="A430" s="40" t="s">
        <v>24</v>
      </c>
      <c r="B430" s="40" t="s">
        <v>1032</v>
      </c>
      <c r="C430" s="97">
        <v>828</v>
      </c>
      <c r="D430" s="97">
        <v>803</v>
      </c>
      <c r="E430" s="97">
        <v>682</v>
      </c>
      <c r="F430" s="97">
        <v>146</v>
      </c>
      <c r="G430" s="97">
        <v>805</v>
      </c>
      <c r="H430" s="97">
        <v>405</v>
      </c>
      <c r="I430" s="98"/>
      <c r="J430" s="10">
        <f t="shared" si="18"/>
        <v>4.968</v>
      </c>
      <c r="K430" s="11">
        <v>6</v>
      </c>
      <c r="L430" s="12">
        <f t="shared" si="19"/>
        <v>0.82799999999999996</v>
      </c>
      <c r="M430" s="13">
        <f t="shared" si="20"/>
        <v>828</v>
      </c>
      <c r="N430" s="15"/>
      <c r="O430" s="5"/>
      <c r="P430" s="5"/>
    </row>
    <row r="431" spans="1:16" s="75" customFormat="1" ht="12">
      <c r="A431" s="40" t="s">
        <v>24</v>
      </c>
      <c r="B431" s="40" t="s">
        <v>1063</v>
      </c>
      <c r="C431" s="97">
        <v>1012</v>
      </c>
      <c r="D431" s="97">
        <v>998</v>
      </c>
      <c r="E431" s="97">
        <v>859</v>
      </c>
      <c r="F431" s="97">
        <v>216</v>
      </c>
      <c r="G431" s="97">
        <v>996</v>
      </c>
      <c r="H431" s="97">
        <v>531</v>
      </c>
      <c r="I431" s="98"/>
      <c r="J431" s="10">
        <f t="shared" si="18"/>
        <v>6.0720000000000001</v>
      </c>
      <c r="K431" s="11">
        <v>6</v>
      </c>
      <c r="L431" s="12">
        <f t="shared" si="19"/>
        <v>1.012</v>
      </c>
      <c r="M431" s="13">
        <f t="shared" si="20"/>
        <v>1012</v>
      </c>
      <c r="N431" s="15"/>
      <c r="O431" s="5"/>
      <c r="P431" s="5"/>
    </row>
    <row r="432" spans="1:16" s="75" customFormat="1" ht="12">
      <c r="A432" s="40" t="s">
        <v>24</v>
      </c>
      <c r="B432" s="40" t="s">
        <v>1122</v>
      </c>
      <c r="C432" s="97">
        <v>301</v>
      </c>
      <c r="D432" s="97">
        <v>297</v>
      </c>
      <c r="E432" s="97">
        <v>229</v>
      </c>
      <c r="F432" s="97">
        <v>94</v>
      </c>
      <c r="G432" s="97">
        <v>298</v>
      </c>
      <c r="H432" s="97">
        <v>192</v>
      </c>
      <c r="I432" s="98"/>
      <c r="J432" s="10">
        <f t="shared" si="18"/>
        <v>1.806</v>
      </c>
      <c r="K432" s="11">
        <v>6</v>
      </c>
      <c r="L432" s="12">
        <f t="shared" si="19"/>
        <v>0.30099999999999999</v>
      </c>
      <c r="M432" s="13">
        <f t="shared" si="20"/>
        <v>301</v>
      </c>
      <c r="N432" s="15"/>
      <c r="O432" s="5"/>
      <c r="P432" s="5"/>
    </row>
    <row r="433" spans="1:16" s="75" customFormat="1" ht="12">
      <c r="A433" s="40" t="s">
        <v>24</v>
      </c>
      <c r="B433" s="40" t="s">
        <v>1128</v>
      </c>
      <c r="C433" s="97">
        <v>367</v>
      </c>
      <c r="D433" s="97">
        <v>347</v>
      </c>
      <c r="E433" s="97">
        <v>275</v>
      </c>
      <c r="F433" s="97">
        <v>74</v>
      </c>
      <c r="G433" s="97">
        <v>363</v>
      </c>
      <c r="H433" s="97">
        <v>195</v>
      </c>
      <c r="I433" s="98"/>
      <c r="J433" s="10">
        <f t="shared" si="18"/>
        <v>2.202</v>
      </c>
      <c r="K433" s="11">
        <v>6</v>
      </c>
      <c r="L433" s="12">
        <f t="shared" si="19"/>
        <v>0.36699999999999999</v>
      </c>
      <c r="M433" s="13">
        <f t="shared" si="20"/>
        <v>367</v>
      </c>
      <c r="N433" s="15"/>
      <c r="O433" s="5"/>
      <c r="P433" s="5"/>
    </row>
    <row r="434" spans="1:16" s="75" customFormat="1" ht="12">
      <c r="A434" s="40" t="s">
        <v>24</v>
      </c>
      <c r="B434" s="40" t="s">
        <v>1135</v>
      </c>
      <c r="C434" s="97">
        <v>1171</v>
      </c>
      <c r="D434" s="97">
        <v>1171</v>
      </c>
      <c r="E434" s="97">
        <v>973</v>
      </c>
      <c r="F434" s="97">
        <v>278</v>
      </c>
      <c r="G434" s="97">
        <v>1148</v>
      </c>
      <c r="H434" s="97">
        <v>745</v>
      </c>
      <c r="I434" s="98"/>
      <c r="J434" s="10">
        <f t="shared" si="18"/>
        <v>7.0259999999999998</v>
      </c>
      <c r="K434" s="11">
        <v>6</v>
      </c>
      <c r="L434" s="12">
        <f t="shared" si="19"/>
        <v>1.171</v>
      </c>
      <c r="M434" s="13">
        <f t="shared" si="20"/>
        <v>1171</v>
      </c>
      <c r="N434" s="15"/>
      <c r="O434" s="5"/>
      <c r="P434" s="5"/>
    </row>
    <row r="435" spans="1:16" s="75" customFormat="1" ht="12">
      <c r="A435" s="40" t="s">
        <v>24</v>
      </c>
      <c r="B435" s="40" t="s">
        <v>1152</v>
      </c>
      <c r="C435" s="97">
        <v>307</v>
      </c>
      <c r="D435" s="97">
        <v>302</v>
      </c>
      <c r="E435" s="97">
        <v>263</v>
      </c>
      <c r="F435" s="97">
        <v>54</v>
      </c>
      <c r="G435" s="97">
        <v>305</v>
      </c>
      <c r="H435" s="97">
        <v>168</v>
      </c>
      <c r="I435" s="98"/>
      <c r="J435" s="10">
        <f t="shared" si="18"/>
        <v>1.8420000000000001</v>
      </c>
      <c r="K435" s="11">
        <v>6</v>
      </c>
      <c r="L435" s="12">
        <f t="shared" si="19"/>
        <v>0.307</v>
      </c>
      <c r="M435" s="13">
        <f t="shared" si="20"/>
        <v>307</v>
      </c>
      <c r="N435" s="15"/>
      <c r="O435" s="5"/>
      <c r="P435" s="5"/>
    </row>
    <row r="436" spans="1:16" s="75" customFormat="1" ht="12">
      <c r="A436" s="40" t="s">
        <v>24</v>
      </c>
      <c r="B436" s="40" t="s">
        <v>1175</v>
      </c>
      <c r="C436" s="97">
        <v>392</v>
      </c>
      <c r="D436" s="97">
        <v>379</v>
      </c>
      <c r="E436" s="97">
        <v>338</v>
      </c>
      <c r="F436" s="97">
        <v>53</v>
      </c>
      <c r="G436" s="97">
        <v>382</v>
      </c>
      <c r="H436" s="97">
        <v>179</v>
      </c>
      <c r="I436" s="98"/>
      <c r="J436" s="10">
        <f t="shared" si="18"/>
        <v>2.3520000000000003</v>
      </c>
      <c r="K436" s="11">
        <v>6</v>
      </c>
      <c r="L436" s="12">
        <f t="shared" si="19"/>
        <v>0.39200000000000002</v>
      </c>
      <c r="M436" s="13">
        <f t="shared" si="20"/>
        <v>392</v>
      </c>
      <c r="N436" s="15"/>
      <c r="O436" s="5"/>
      <c r="P436" s="5"/>
    </row>
    <row r="437" spans="1:16" s="75" customFormat="1" ht="12">
      <c r="A437" s="40" t="s">
        <v>24</v>
      </c>
      <c r="B437" s="40" t="s">
        <v>1186</v>
      </c>
      <c r="C437" s="97">
        <v>314</v>
      </c>
      <c r="D437" s="97">
        <v>308</v>
      </c>
      <c r="E437" s="97">
        <v>265</v>
      </c>
      <c r="F437" s="97">
        <v>106</v>
      </c>
      <c r="G437" s="97">
        <v>312</v>
      </c>
      <c r="H437" s="97">
        <v>222</v>
      </c>
      <c r="I437" s="98"/>
      <c r="J437" s="10">
        <f t="shared" si="18"/>
        <v>1.8839999999999999</v>
      </c>
      <c r="K437" s="11">
        <v>6</v>
      </c>
      <c r="L437" s="12">
        <f t="shared" si="19"/>
        <v>0.314</v>
      </c>
      <c r="M437" s="13">
        <f t="shared" si="20"/>
        <v>314</v>
      </c>
      <c r="N437" s="15"/>
      <c r="O437" s="5"/>
      <c r="P437" s="5"/>
    </row>
    <row r="438" spans="1:16" s="75" customFormat="1" ht="12">
      <c r="A438" s="40" t="s">
        <v>24</v>
      </c>
      <c r="B438" s="40" t="s">
        <v>1189</v>
      </c>
      <c r="C438" s="97">
        <v>931</v>
      </c>
      <c r="D438" s="97">
        <v>900</v>
      </c>
      <c r="E438" s="97">
        <v>760</v>
      </c>
      <c r="F438" s="97">
        <v>187</v>
      </c>
      <c r="G438" s="97">
        <v>919</v>
      </c>
      <c r="H438" s="97">
        <v>517</v>
      </c>
      <c r="I438" s="98"/>
      <c r="J438" s="10">
        <f t="shared" si="18"/>
        <v>5.5860000000000003</v>
      </c>
      <c r="K438" s="11">
        <v>6</v>
      </c>
      <c r="L438" s="12">
        <f t="shared" si="19"/>
        <v>0.93100000000000005</v>
      </c>
      <c r="M438" s="13">
        <f t="shared" si="20"/>
        <v>931</v>
      </c>
      <c r="N438" s="15"/>
      <c r="O438" s="5"/>
      <c r="P438" s="5"/>
    </row>
    <row r="439" spans="1:16" s="75" customFormat="1" ht="12">
      <c r="A439" s="40" t="s">
        <v>24</v>
      </c>
      <c r="B439" s="40" t="s">
        <v>1193</v>
      </c>
      <c r="C439" s="97">
        <v>623</v>
      </c>
      <c r="D439" s="97">
        <v>610</v>
      </c>
      <c r="E439" s="97">
        <v>519</v>
      </c>
      <c r="F439" s="97">
        <v>120</v>
      </c>
      <c r="G439" s="97">
        <v>616</v>
      </c>
      <c r="H439" s="97">
        <v>328</v>
      </c>
      <c r="I439" s="98"/>
      <c r="J439" s="10">
        <f t="shared" si="18"/>
        <v>3.738</v>
      </c>
      <c r="K439" s="11">
        <v>6</v>
      </c>
      <c r="L439" s="12">
        <f t="shared" si="19"/>
        <v>0.623</v>
      </c>
      <c r="M439" s="13">
        <f t="shared" si="20"/>
        <v>623</v>
      </c>
      <c r="N439" s="15"/>
      <c r="O439" s="5"/>
      <c r="P439" s="5"/>
    </row>
    <row r="440" spans="1:16" s="75" customFormat="1" ht="12">
      <c r="A440" s="40" t="s">
        <v>24</v>
      </c>
      <c r="B440" s="40" t="s">
        <v>1241</v>
      </c>
      <c r="C440" s="97">
        <v>339</v>
      </c>
      <c r="D440" s="97">
        <v>338</v>
      </c>
      <c r="E440" s="97">
        <v>250</v>
      </c>
      <c r="F440" s="97">
        <v>69</v>
      </c>
      <c r="G440" s="97">
        <v>335</v>
      </c>
      <c r="H440" s="97">
        <v>200</v>
      </c>
      <c r="I440" s="98"/>
      <c r="J440" s="10">
        <f t="shared" si="18"/>
        <v>2.0340000000000003</v>
      </c>
      <c r="K440" s="11">
        <v>6</v>
      </c>
      <c r="L440" s="12">
        <f t="shared" si="19"/>
        <v>0.33900000000000002</v>
      </c>
      <c r="M440" s="13">
        <f t="shared" si="20"/>
        <v>339</v>
      </c>
      <c r="N440" s="15"/>
      <c r="O440" s="5"/>
      <c r="P440" s="5"/>
    </row>
    <row r="441" spans="1:16" s="75" customFormat="1" ht="12">
      <c r="A441" s="40" t="s">
        <v>24</v>
      </c>
      <c r="B441" s="40" t="s">
        <v>1257</v>
      </c>
      <c r="C441" s="97">
        <v>346</v>
      </c>
      <c r="D441" s="97">
        <v>332</v>
      </c>
      <c r="E441" s="97">
        <v>263</v>
      </c>
      <c r="F441" s="97">
        <v>98</v>
      </c>
      <c r="G441" s="97">
        <v>338</v>
      </c>
      <c r="H441" s="97">
        <v>226</v>
      </c>
      <c r="I441" s="98"/>
      <c r="J441" s="10">
        <f t="shared" si="18"/>
        <v>2.0759999999999996</v>
      </c>
      <c r="K441" s="11">
        <v>6</v>
      </c>
      <c r="L441" s="12">
        <f t="shared" si="19"/>
        <v>0.34599999999999997</v>
      </c>
      <c r="M441" s="13">
        <f t="shared" si="20"/>
        <v>346</v>
      </c>
      <c r="N441" s="15"/>
      <c r="O441" s="5"/>
      <c r="P441" s="5"/>
    </row>
    <row r="442" spans="1:16" s="75" customFormat="1" ht="12">
      <c r="A442" s="40" t="s">
        <v>24</v>
      </c>
      <c r="B442" s="40" t="s">
        <v>1334</v>
      </c>
      <c r="C442" s="97">
        <v>385</v>
      </c>
      <c r="D442" s="97">
        <v>381</v>
      </c>
      <c r="E442" s="97">
        <v>319</v>
      </c>
      <c r="F442" s="97">
        <v>69</v>
      </c>
      <c r="G442" s="97">
        <v>377</v>
      </c>
      <c r="H442" s="97">
        <v>197</v>
      </c>
      <c r="I442" s="98"/>
      <c r="J442" s="10">
        <f t="shared" si="18"/>
        <v>2.31</v>
      </c>
      <c r="K442" s="11">
        <v>6</v>
      </c>
      <c r="L442" s="12">
        <f t="shared" si="19"/>
        <v>0.38500000000000001</v>
      </c>
      <c r="M442" s="13">
        <f t="shared" si="20"/>
        <v>385</v>
      </c>
      <c r="N442" s="15"/>
      <c r="O442" s="5"/>
      <c r="P442" s="5"/>
    </row>
    <row r="443" spans="1:16" s="75" customFormat="1" ht="12">
      <c r="A443" s="40" t="s">
        <v>24</v>
      </c>
      <c r="B443" s="40" t="s">
        <v>1404</v>
      </c>
      <c r="C443" s="97">
        <v>409</v>
      </c>
      <c r="D443" s="97">
        <v>406</v>
      </c>
      <c r="E443" s="97">
        <v>347</v>
      </c>
      <c r="F443" s="97">
        <v>85</v>
      </c>
      <c r="G443" s="97">
        <v>405</v>
      </c>
      <c r="H443" s="97">
        <v>216</v>
      </c>
      <c r="I443" s="98"/>
      <c r="J443" s="10">
        <f t="shared" si="18"/>
        <v>2.4539999999999997</v>
      </c>
      <c r="K443" s="11">
        <v>6</v>
      </c>
      <c r="L443" s="12">
        <f t="shared" si="19"/>
        <v>0.40899999999999997</v>
      </c>
      <c r="M443" s="13">
        <f t="shared" si="20"/>
        <v>409</v>
      </c>
      <c r="N443" s="15"/>
      <c r="O443" s="5"/>
      <c r="P443" s="5"/>
    </row>
    <row r="444" spans="1:16" s="75" customFormat="1" ht="12">
      <c r="A444" s="40" t="s">
        <v>24</v>
      </c>
      <c r="B444" s="40" t="s">
        <v>1581</v>
      </c>
      <c r="C444" s="97">
        <v>660</v>
      </c>
      <c r="D444" s="97">
        <v>658</v>
      </c>
      <c r="E444" s="97">
        <v>587</v>
      </c>
      <c r="F444" s="97">
        <v>175</v>
      </c>
      <c r="G444" s="97">
        <v>647</v>
      </c>
      <c r="H444" s="97">
        <v>409</v>
      </c>
      <c r="I444" s="98"/>
      <c r="J444" s="10">
        <f t="shared" si="18"/>
        <v>3.96</v>
      </c>
      <c r="K444" s="11">
        <v>6</v>
      </c>
      <c r="L444" s="12">
        <f t="shared" si="19"/>
        <v>0.66</v>
      </c>
      <c r="M444" s="13">
        <f t="shared" si="20"/>
        <v>660</v>
      </c>
      <c r="N444" s="15"/>
      <c r="O444" s="5"/>
      <c r="P444" s="5"/>
    </row>
    <row r="445" spans="1:16" s="75" customFormat="1" ht="12">
      <c r="A445" s="40" t="s">
        <v>24</v>
      </c>
      <c r="B445" s="40" t="s">
        <v>1651</v>
      </c>
      <c r="C445" s="97">
        <v>300</v>
      </c>
      <c r="D445" s="97">
        <v>297</v>
      </c>
      <c r="E445" s="97">
        <v>254</v>
      </c>
      <c r="F445" s="97">
        <v>54</v>
      </c>
      <c r="G445" s="97">
        <v>296</v>
      </c>
      <c r="H445" s="97">
        <v>173</v>
      </c>
      <c r="I445" s="98"/>
      <c r="J445" s="10">
        <f t="shared" si="18"/>
        <v>1.7999999999999998</v>
      </c>
      <c r="K445" s="11">
        <v>6</v>
      </c>
      <c r="L445" s="12">
        <f t="shared" si="19"/>
        <v>0.3</v>
      </c>
      <c r="M445" s="13">
        <f t="shared" si="20"/>
        <v>300</v>
      </c>
      <c r="N445" s="15"/>
      <c r="O445" s="5"/>
      <c r="P445" s="5"/>
    </row>
    <row r="446" spans="1:16" s="75" customFormat="1" ht="12">
      <c r="A446" s="40" t="s">
        <v>24</v>
      </c>
      <c r="B446" s="40" t="s">
        <v>1655</v>
      </c>
      <c r="C446" s="97">
        <v>648</v>
      </c>
      <c r="D446" s="97">
        <v>637</v>
      </c>
      <c r="E446" s="97">
        <v>505</v>
      </c>
      <c r="F446" s="97">
        <v>113</v>
      </c>
      <c r="G446" s="97">
        <v>635</v>
      </c>
      <c r="H446" s="97">
        <v>340</v>
      </c>
      <c r="I446" s="98"/>
      <c r="J446" s="10">
        <f t="shared" si="18"/>
        <v>3.8879999999999999</v>
      </c>
      <c r="K446" s="11">
        <v>6</v>
      </c>
      <c r="L446" s="12">
        <f t="shared" si="19"/>
        <v>0.64800000000000002</v>
      </c>
      <c r="M446" s="13">
        <f t="shared" si="20"/>
        <v>648</v>
      </c>
      <c r="N446" s="15"/>
      <c r="O446" s="5"/>
      <c r="P446" s="5"/>
    </row>
    <row r="447" spans="1:16" s="75" customFormat="1">
      <c r="A447" s="72" t="s">
        <v>190</v>
      </c>
      <c r="B447" s="73" t="s">
        <v>2050</v>
      </c>
      <c r="C447" s="110">
        <v>1904</v>
      </c>
      <c r="D447" s="110">
        <v>1868</v>
      </c>
      <c r="E447" s="110">
        <v>1608</v>
      </c>
      <c r="F447" s="110">
        <v>1885</v>
      </c>
      <c r="G447" s="110">
        <v>482</v>
      </c>
      <c r="H447" s="110">
        <v>1074</v>
      </c>
      <c r="I447" s="111"/>
      <c r="J447" s="10">
        <f t="shared" si="18"/>
        <v>11.423999999999999</v>
      </c>
      <c r="K447" s="11">
        <v>6</v>
      </c>
      <c r="L447" s="12">
        <f t="shared" si="19"/>
        <v>1.9039999999999999</v>
      </c>
      <c r="M447" s="13">
        <f t="shared" si="20"/>
        <v>1904</v>
      </c>
      <c r="N447" s="60"/>
      <c r="O447"/>
      <c r="P447"/>
    </row>
    <row r="448" spans="1:16" s="75" customFormat="1">
      <c r="A448" s="72" t="s">
        <v>190</v>
      </c>
      <c r="B448" s="73" t="s">
        <v>2051</v>
      </c>
      <c r="C448" s="110">
        <v>562</v>
      </c>
      <c r="D448" s="110">
        <v>541</v>
      </c>
      <c r="E448" s="110">
        <v>439</v>
      </c>
      <c r="F448" s="110">
        <v>547</v>
      </c>
      <c r="G448" s="110">
        <v>143</v>
      </c>
      <c r="H448" s="110">
        <v>294</v>
      </c>
      <c r="I448" s="111"/>
      <c r="J448" s="10">
        <f t="shared" si="18"/>
        <v>3.3720000000000003</v>
      </c>
      <c r="K448" s="11">
        <v>6</v>
      </c>
      <c r="L448" s="12">
        <f t="shared" si="19"/>
        <v>0.56200000000000006</v>
      </c>
      <c r="M448" s="13">
        <f t="shared" si="20"/>
        <v>562</v>
      </c>
      <c r="N448" s="60"/>
      <c r="O448"/>
      <c r="P448"/>
    </row>
    <row r="449" spans="1:16" s="75" customFormat="1">
      <c r="A449" s="72" t="s">
        <v>190</v>
      </c>
      <c r="B449" s="73" t="s">
        <v>2052</v>
      </c>
      <c r="C449" s="110">
        <v>3939</v>
      </c>
      <c r="D449" s="110">
        <v>3821</v>
      </c>
      <c r="E449" s="110">
        <v>3290</v>
      </c>
      <c r="F449" s="110">
        <v>3858</v>
      </c>
      <c r="G449" s="110">
        <v>1047</v>
      </c>
      <c r="H449" s="110">
        <v>2277</v>
      </c>
      <c r="I449" s="111"/>
      <c r="J449" s="10">
        <f t="shared" si="18"/>
        <v>23.634</v>
      </c>
      <c r="K449" s="11">
        <v>6</v>
      </c>
      <c r="L449" s="12">
        <f t="shared" si="19"/>
        <v>3.9390000000000001</v>
      </c>
      <c r="M449" s="13">
        <f t="shared" si="20"/>
        <v>3939</v>
      </c>
      <c r="N449" s="60"/>
      <c r="O449"/>
      <c r="P449"/>
    </row>
    <row r="450" spans="1:16" s="75" customFormat="1">
      <c r="A450" s="72" t="s">
        <v>190</v>
      </c>
      <c r="B450" s="73" t="s">
        <v>2053</v>
      </c>
      <c r="C450" s="110">
        <v>649</v>
      </c>
      <c r="D450" s="110">
        <v>630</v>
      </c>
      <c r="E450" s="110">
        <v>523</v>
      </c>
      <c r="F450" s="110">
        <v>631</v>
      </c>
      <c r="G450" s="110">
        <v>143</v>
      </c>
      <c r="H450" s="110">
        <v>352</v>
      </c>
      <c r="I450" s="111"/>
      <c r="J450" s="10">
        <f t="shared" si="18"/>
        <v>3.8940000000000001</v>
      </c>
      <c r="K450" s="11">
        <v>6</v>
      </c>
      <c r="L450" s="12">
        <f t="shared" si="19"/>
        <v>0.64900000000000002</v>
      </c>
      <c r="M450" s="13">
        <f t="shared" si="20"/>
        <v>649</v>
      </c>
      <c r="N450" s="60"/>
      <c r="O450"/>
      <c r="P450"/>
    </row>
    <row r="451" spans="1:16" s="75" customFormat="1">
      <c r="A451" s="72" t="s">
        <v>190</v>
      </c>
      <c r="B451" s="73" t="s">
        <v>2054</v>
      </c>
      <c r="C451" s="110">
        <v>1437</v>
      </c>
      <c r="D451" s="110">
        <v>1407</v>
      </c>
      <c r="E451" s="110">
        <v>1201</v>
      </c>
      <c r="F451" s="110">
        <v>1410</v>
      </c>
      <c r="G451" s="110">
        <v>400</v>
      </c>
      <c r="H451" s="110">
        <v>913</v>
      </c>
      <c r="I451" s="111"/>
      <c r="J451" s="10">
        <f t="shared" si="18"/>
        <v>8.6219999999999999</v>
      </c>
      <c r="K451" s="11">
        <v>6</v>
      </c>
      <c r="L451" s="12">
        <f t="shared" si="19"/>
        <v>1.4370000000000001</v>
      </c>
      <c r="M451" s="13">
        <f t="shared" si="20"/>
        <v>1437</v>
      </c>
      <c r="N451" s="60"/>
      <c r="O451"/>
      <c r="P451"/>
    </row>
    <row r="452" spans="1:16" s="75" customFormat="1">
      <c r="A452" s="72" t="s">
        <v>190</v>
      </c>
      <c r="B452" s="73" t="s">
        <v>2055</v>
      </c>
      <c r="C452" s="110">
        <v>692</v>
      </c>
      <c r="D452" s="110">
        <v>670</v>
      </c>
      <c r="E452" s="110">
        <v>548</v>
      </c>
      <c r="F452" s="110">
        <v>675</v>
      </c>
      <c r="G452" s="110">
        <v>172</v>
      </c>
      <c r="H452" s="110">
        <v>379</v>
      </c>
      <c r="I452" s="111"/>
      <c r="J452" s="10">
        <f t="shared" si="18"/>
        <v>4.1519999999999992</v>
      </c>
      <c r="K452" s="11">
        <v>6</v>
      </c>
      <c r="L452" s="12">
        <f t="shared" si="19"/>
        <v>0.69199999999999995</v>
      </c>
      <c r="M452" s="13">
        <f t="shared" si="20"/>
        <v>692</v>
      </c>
      <c r="N452" s="60"/>
      <c r="O452"/>
      <c r="P452"/>
    </row>
    <row r="453" spans="1:16" s="75" customFormat="1">
      <c r="A453" s="72" t="s">
        <v>190</v>
      </c>
      <c r="B453" s="73" t="s">
        <v>2056</v>
      </c>
      <c r="C453" s="110">
        <v>2138</v>
      </c>
      <c r="D453" s="110">
        <v>2092</v>
      </c>
      <c r="E453" s="110">
        <v>1778</v>
      </c>
      <c r="F453" s="110">
        <v>2116</v>
      </c>
      <c r="G453" s="110">
        <v>566</v>
      </c>
      <c r="H453" s="110">
        <v>1325</v>
      </c>
      <c r="I453" s="111"/>
      <c r="J453" s="10">
        <f t="shared" si="18"/>
        <v>12.827999999999999</v>
      </c>
      <c r="K453" s="11">
        <v>6</v>
      </c>
      <c r="L453" s="12">
        <f t="shared" si="19"/>
        <v>2.1379999999999999</v>
      </c>
      <c r="M453" s="13">
        <f t="shared" si="20"/>
        <v>2138</v>
      </c>
      <c r="N453" s="60"/>
      <c r="O453"/>
      <c r="P453"/>
    </row>
    <row r="454" spans="1:16" s="75" customFormat="1">
      <c r="A454" s="72" t="s">
        <v>190</v>
      </c>
      <c r="B454" s="73" t="s">
        <v>2057</v>
      </c>
      <c r="C454" s="110">
        <v>842</v>
      </c>
      <c r="D454" s="110">
        <v>819</v>
      </c>
      <c r="E454" s="110">
        <v>641</v>
      </c>
      <c r="F454" s="110">
        <v>817</v>
      </c>
      <c r="G454" s="110">
        <v>160</v>
      </c>
      <c r="H454" s="110">
        <v>345</v>
      </c>
      <c r="I454" s="111"/>
      <c r="J454" s="10">
        <f t="shared" si="18"/>
        <v>5.0519999999999996</v>
      </c>
      <c r="K454" s="11">
        <v>6</v>
      </c>
      <c r="L454" s="12">
        <f t="shared" si="19"/>
        <v>0.84199999999999997</v>
      </c>
      <c r="M454" s="13">
        <f t="shared" si="20"/>
        <v>842</v>
      </c>
      <c r="N454" s="60"/>
      <c r="O454"/>
      <c r="P454"/>
    </row>
    <row r="455" spans="1:16" s="75" customFormat="1">
      <c r="A455" s="72" t="s">
        <v>190</v>
      </c>
      <c r="B455" s="73" t="s">
        <v>2058</v>
      </c>
      <c r="C455" s="110">
        <v>2881</v>
      </c>
      <c r="D455" s="110">
        <v>2808</v>
      </c>
      <c r="E455" s="110">
        <v>2348</v>
      </c>
      <c r="F455" s="110">
        <v>2830</v>
      </c>
      <c r="G455" s="110">
        <v>720</v>
      </c>
      <c r="H455" s="110">
        <v>1644</v>
      </c>
      <c r="I455" s="111"/>
      <c r="J455" s="10">
        <f t="shared" si="18"/>
        <v>17.285999999999998</v>
      </c>
      <c r="K455" s="11">
        <v>6</v>
      </c>
      <c r="L455" s="12">
        <f t="shared" si="19"/>
        <v>2.8809999999999998</v>
      </c>
      <c r="M455" s="13">
        <f t="shared" si="20"/>
        <v>2881</v>
      </c>
      <c r="N455" s="60"/>
      <c r="O455"/>
      <c r="P455"/>
    </row>
    <row r="456" spans="1:16" s="75" customFormat="1">
      <c r="A456" s="72" t="s">
        <v>190</v>
      </c>
      <c r="B456" s="73" t="s">
        <v>2059</v>
      </c>
      <c r="C456" s="110">
        <v>1581</v>
      </c>
      <c r="D456" s="110">
        <v>1523</v>
      </c>
      <c r="E456" s="110">
        <v>1274</v>
      </c>
      <c r="F456" s="110">
        <v>1532</v>
      </c>
      <c r="G456" s="110">
        <v>323</v>
      </c>
      <c r="H456" s="110">
        <v>825</v>
      </c>
      <c r="I456" s="111"/>
      <c r="J456" s="10">
        <f t="shared" si="18"/>
        <v>9.4860000000000007</v>
      </c>
      <c r="K456" s="11">
        <v>6</v>
      </c>
      <c r="L456" s="12">
        <f t="shared" si="19"/>
        <v>1.581</v>
      </c>
      <c r="M456" s="13">
        <f t="shared" si="20"/>
        <v>1581</v>
      </c>
      <c r="N456" s="60"/>
      <c r="O456"/>
      <c r="P456"/>
    </row>
    <row r="457" spans="1:16" s="75" customFormat="1">
      <c r="A457" s="72" t="s">
        <v>190</v>
      </c>
      <c r="B457" s="73" t="s">
        <v>2060</v>
      </c>
      <c r="C457" s="110">
        <v>765</v>
      </c>
      <c r="D457" s="110">
        <v>737</v>
      </c>
      <c r="E457" s="110">
        <v>621</v>
      </c>
      <c r="F457" s="110">
        <v>730</v>
      </c>
      <c r="G457" s="110">
        <v>172</v>
      </c>
      <c r="H457" s="110">
        <v>396</v>
      </c>
      <c r="I457" s="111"/>
      <c r="J457" s="10">
        <f t="shared" si="18"/>
        <v>4.59</v>
      </c>
      <c r="K457" s="11">
        <v>6</v>
      </c>
      <c r="L457" s="12">
        <f t="shared" si="19"/>
        <v>0.76500000000000001</v>
      </c>
      <c r="M457" s="13">
        <f t="shared" si="20"/>
        <v>765</v>
      </c>
      <c r="N457" s="60"/>
      <c r="O457"/>
      <c r="P457"/>
    </row>
    <row r="458" spans="1:16" s="75" customFormat="1">
      <c r="A458" s="72" t="s">
        <v>190</v>
      </c>
      <c r="B458" s="73" t="s">
        <v>2061</v>
      </c>
      <c r="C458" s="110">
        <v>680</v>
      </c>
      <c r="D458" s="110">
        <v>653</v>
      </c>
      <c r="E458" s="110">
        <v>540</v>
      </c>
      <c r="F458" s="110">
        <v>656</v>
      </c>
      <c r="G458" s="110">
        <v>144</v>
      </c>
      <c r="H458" s="110">
        <v>363</v>
      </c>
      <c r="I458" s="111"/>
      <c r="J458" s="10">
        <f t="shared" ref="J458:J521" si="21">+K458*L458</f>
        <v>4.08</v>
      </c>
      <c r="K458" s="11">
        <v>6</v>
      </c>
      <c r="L458" s="12">
        <f t="shared" ref="L458:L521" si="22">+M458/1000</f>
        <v>0.68</v>
      </c>
      <c r="M458" s="13">
        <f t="shared" ref="M458:M521" si="23">+C458</f>
        <v>680</v>
      </c>
      <c r="N458" s="60"/>
      <c r="O458"/>
      <c r="P458"/>
    </row>
    <row r="459" spans="1:16" s="75" customFormat="1">
      <c r="A459" s="72" t="s">
        <v>190</v>
      </c>
      <c r="B459" s="73" t="s">
        <v>2064</v>
      </c>
      <c r="C459" s="110">
        <v>866</v>
      </c>
      <c r="D459" s="110">
        <v>843</v>
      </c>
      <c r="E459" s="110">
        <v>705</v>
      </c>
      <c r="F459" s="110">
        <v>852</v>
      </c>
      <c r="G459" s="110">
        <v>212</v>
      </c>
      <c r="H459" s="110">
        <v>485</v>
      </c>
      <c r="I459" s="111"/>
      <c r="J459" s="10">
        <f t="shared" si="21"/>
        <v>5.1959999999999997</v>
      </c>
      <c r="K459" s="11">
        <v>6</v>
      </c>
      <c r="L459" s="12">
        <f t="shared" si="22"/>
        <v>0.86599999999999999</v>
      </c>
      <c r="M459" s="13">
        <f t="shared" si="23"/>
        <v>866</v>
      </c>
      <c r="N459" s="60"/>
      <c r="O459"/>
      <c r="P459"/>
    </row>
    <row r="460" spans="1:16" s="75" customFormat="1">
      <c r="A460" s="72" t="s">
        <v>190</v>
      </c>
      <c r="B460" s="73" t="s">
        <v>2065</v>
      </c>
      <c r="C460" s="110">
        <v>639</v>
      </c>
      <c r="D460" s="110">
        <v>614</v>
      </c>
      <c r="E460" s="110">
        <v>506</v>
      </c>
      <c r="F460" s="110">
        <v>627</v>
      </c>
      <c r="G460" s="110">
        <v>123</v>
      </c>
      <c r="H460" s="110">
        <v>332</v>
      </c>
      <c r="I460" s="111"/>
      <c r="J460" s="10">
        <f t="shared" si="21"/>
        <v>3.8340000000000001</v>
      </c>
      <c r="K460" s="11">
        <v>6</v>
      </c>
      <c r="L460" s="12">
        <f t="shared" si="22"/>
        <v>0.63900000000000001</v>
      </c>
      <c r="M460" s="13">
        <f t="shared" si="23"/>
        <v>639</v>
      </c>
      <c r="N460" s="60"/>
      <c r="O460"/>
      <c r="P460"/>
    </row>
    <row r="461" spans="1:16" s="75" customFormat="1">
      <c r="A461" s="72" t="s">
        <v>190</v>
      </c>
      <c r="B461" s="73" t="s">
        <v>2066</v>
      </c>
      <c r="C461" s="110">
        <v>844</v>
      </c>
      <c r="D461" s="110">
        <v>810</v>
      </c>
      <c r="E461" s="110">
        <v>653</v>
      </c>
      <c r="F461" s="110">
        <v>814</v>
      </c>
      <c r="G461" s="110">
        <v>183</v>
      </c>
      <c r="H461" s="110">
        <v>445</v>
      </c>
      <c r="I461" s="111"/>
      <c r="J461" s="10">
        <f t="shared" si="21"/>
        <v>5.0640000000000001</v>
      </c>
      <c r="K461" s="11">
        <v>6</v>
      </c>
      <c r="L461" s="12">
        <f t="shared" si="22"/>
        <v>0.84399999999999997</v>
      </c>
      <c r="M461" s="13">
        <f t="shared" si="23"/>
        <v>844</v>
      </c>
      <c r="N461" s="60"/>
      <c r="O461"/>
      <c r="P461"/>
    </row>
    <row r="462" spans="1:16" s="75" customFormat="1">
      <c r="A462" s="72" t="s">
        <v>190</v>
      </c>
      <c r="B462" s="73" t="s">
        <v>2067</v>
      </c>
      <c r="C462" s="110">
        <v>101</v>
      </c>
      <c r="D462" s="110">
        <v>94</v>
      </c>
      <c r="E462" s="110">
        <v>67</v>
      </c>
      <c r="F462" s="110">
        <v>95</v>
      </c>
      <c r="G462" s="110">
        <v>20</v>
      </c>
      <c r="H462" s="110">
        <v>43</v>
      </c>
      <c r="I462" s="111"/>
      <c r="J462" s="10">
        <f t="shared" si="21"/>
        <v>0.60600000000000009</v>
      </c>
      <c r="K462" s="11">
        <v>6</v>
      </c>
      <c r="L462" s="12">
        <f t="shared" si="22"/>
        <v>0.10100000000000001</v>
      </c>
      <c r="M462" s="13">
        <f t="shared" si="23"/>
        <v>101</v>
      </c>
      <c r="N462" s="60"/>
      <c r="O462"/>
      <c r="P462"/>
    </row>
    <row r="463" spans="1:16" s="75" customFormat="1">
      <c r="A463" s="72" t="s">
        <v>190</v>
      </c>
      <c r="B463" s="73" t="s">
        <v>2068</v>
      </c>
      <c r="C463" s="110">
        <v>65</v>
      </c>
      <c r="D463" s="110">
        <v>53</v>
      </c>
      <c r="E463" s="110">
        <v>40</v>
      </c>
      <c r="F463" s="110">
        <v>55</v>
      </c>
      <c r="G463" s="110">
        <v>4</v>
      </c>
      <c r="H463" s="110">
        <v>16</v>
      </c>
      <c r="I463" s="111"/>
      <c r="J463" s="10">
        <f t="shared" si="21"/>
        <v>0.39</v>
      </c>
      <c r="K463" s="11">
        <v>6</v>
      </c>
      <c r="L463" s="12">
        <f t="shared" si="22"/>
        <v>6.5000000000000002E-2</v>
      </c>
      <c r="M463" s="13">
        <f t="shared" si="23"/>
        <v>65</v>
      </c>
      <c r="N463" s="60"/>
      <c r="O463"/>
      <c r="P463"/>
    </row>
    <row r="464" spans="1:16" s="75" customFormat="1">
      <c r="A464" s="72" t="s">
        <v>190</v>
      </c>
      <c r="B464" s="73" t="s">
        <v>2069</v>
      </c>
      <c r="C464" s="110">
        <v>659</v>
      </c>
      <c r="D464" s="110">
        <v>625</v>
      </c>
      <c r="E464" s="110">
        <v>557</v>
      </c>
      <c r="F464" s="110">
        <v>629</v>
      </c>
      <c r="G464" s="110">
        <v>239</v>
      </c>
      <c r="H464" s="110">
        <v>437</v>
      </c>
      <c r="I464" s="111"/>
      <c r="J464" s="10">
        <f t="shared" si="21"/>
        <v>3.9540000000000002</v>
      </c>
      <c r="K464" s="11">
        <v>6</v>
      </c>
      <c r="L464" s="12">
        <f t="shared" si="22"/>
        <v>0.65900000000000003</v>
      </c>
      <c r="M464" s="13">
        <f t="shared" si="23"/>
        <v>659</v>
      </c>
      <c r="N464" s="60"/>
      <c r="O464"/>
      <c r="P464"/>
    </row>
    <row r="465" spans="1:16" s="75" customFormat="1">
      <c r="A465" s="72" t="s">
        <v>190</v>
      </c>
      <c r="B465" s="73" t="s">
        <v>2070</v>
      </c>
      <c r="C465" s="110">
        <v>181</v>
      </c>
      <c r="D465" s="110">
        <v>173</v>
      </c>
      <c r="E465" s="110">
        <v>136</v>
      </c>
      <c r="F465" s="110">
        <v>178</v>
      </c>
      <c r="G465" s="110">
        <v>32</v>
      </c>
      <c r="H465" s="110">
        <v>91</v>
      </c>
      <c r="I465" s="111"/>
      <c r="J465" s="10">
        <f t="shared" si="21"/>
        <v>1.0859999999999999</v>
      </c>
      <c r="K465" s="11">
        <v>6</v>
      </c>
      <c r="L465" s="12">
        <f t="shared" si="22"/>
        <v>0.18099999999999999</v>
      </c>
      <c r="M465" s="13">
        <f t="shared" si="23"/>
        <v>181</v>
      </c>
      <c r="N465" s="60"/>
      <c r="O465"/>
      <c r="P465"/>
    </row>
    <row r="466" spans="1:16" s="75" customFormat="1">
      <c r="A466" s="72" t="s">
        <v>190</v>
      </c>
      <c r="B466" s="73" t="s">
        <v>2071</v>
      </c>
      <c r="C466" s="110">
        <v>1348</v>
      </c>
      <c r="D466" s="110">
        <v>1283</v>
      </c>
      <c r="E466" s="110">
        <v>1097</v>
      </c>
      <c r="F466" s="110">
        <v>1321</v>
      </c>
      <c r="G466" s="110">
        <v>352</v>
      </c>
      <c r="H466" s="110">
        <v>802</v>
      </c>
      <c r="I466" s="111"/>
      <c r="J466" s="10">
        <f t="shared" si="21"/>
        <v>8.088000000000001</v>
      </c>
      <c r="K466" s="11">
        <v>6</v>
      </c>
      <c r="L466" s="12">
        <f t="shared" si="22"/>
        <v>1.3480000000000001</v>
      </c>
      <c r="M466" s="13">
        <f t="shared" si="23"/>
        <v>1348</v>
      </c>
      <c r="N466" s="60"/>
      <c r="O466"/>
      <c r="P466"/>
    </row>
    <row r="467" spans="1:16" s="75" customFormat="1">
      <c r="A467" s="72" t="s">
        <v>190</v>
      </c>
      <c r="B467" s="73" t="s">
        <v>2072</v>
      </c>
      <c r="C467" s="110">
        <f t="shared" ref="C467:H467" si="24">+C468+C469</f>
        <v>2720</v>
      </c>
      <c r="D467" s="110">
        <f t="shared" si="24"/>
        <v>2637</v>
      </c>
      <c r="E467" s="110">
        <f t="shared" si="24"/>
        <v>2225</v>
      </c>
      <c r="F467" s="110">
        <f t="shared" si="24"/>
        <v>2659</v>
      </c>
      <c r="G467" s="110">
        <f t="shared" si="24"/>
        <v>650</v>
      </c>
      <c r="H467" s="110">
        <f t="shared" si="24"/>
        <v>1550</v>
      </c>
      <c r="I467" s="111"/>
      <c r="J467" s="10">
        <f t="shared" si="21"/>
        <v>16.32</v>
      </c>
      <c r="K467" s="11">
        <v>6</v>
      </c>
      <c r="L467" s="12">
        <f t="shared" si="22"/>
        <v>2.72</v>
      </c>
      <c r="M467" s="13">
        <f t="shared" si="23"/>
        <v>2720</v>
      </c>
      <c r="N467" s="60"/>
      <c r="O467"/>
      <c r="P467"/>
    </row>
    <row r="468" spans="1:16" s="75" customFormat="1">
      <c r="A468" s="72" t="s">
        <v>190</v>
      </c>
      <c r="B468" s="73" t="s">
        <v>2073</v>
      </c>
      <c r="C468" s="110">
        <v>702</v>
      </c>
      <c r="D468" s="110">
        <v>665</v>
      </c>
      <c r="E468" s="110">
        <v>537</v>
      </c>
      <c r="F468" s="110">
        <v>683</v>
      </c>
      <c r="G468" s="110">
        <v>141</v>
      </c>
      <c r="H468" s="110">
        <v>339</v>
      </c>
      <c r="I468" s="111"/>
      <c r="J468" s="10">
        <f t="shared" si="21"/>
        <v>4.2119999999999997</v>
      </c>
      <c r="K468" s="11">
        <v>6</v>
      </c>
      <c r="L468" s="12">
        <f t="shared" si="22"/>
        <v>0.70199999999999996</v>
      </c>
      <c r="M468" s="13">
        <f t="shared" si="23"/>
        <v>702</v>
      </c>
      <c r="N468" s="60"/>
      <c r="O468"/>
      <c r="P468"/>
    </row>
    <row r="469" spans="1:16" s="75" customFormat="1">
      <c r="A469" s="72" t="s">
        <v>190</v>
      </c>
      <c r="B469" s="73" t="s">
        <v>2074</v>
      </c>
      <c r="C469" s="110">
        <v>2018</v>
      </c>
      <c r="D469" s="110">
        <v>1972</v>
      </c>
      <c r="E469" s="110">
        <v>1688</v>
      </c>
      <c r="F469" s="110">
        <v>1976</v>
      </c>
      <c r="G469" s="110">
        <v>509</v>
      </c>
      <c r="H469" s="110">
        <v>1211</v>
      </c>
      <c r="I469" s="111"/>
      <c r="J469" s="10">
        <f t="shared" si="21"/>
        <v>12.107999999999999</v>
      </c>
      <c r="K469" s="11">
        <v>6</v>
      </c>
      <c r="L469" s="12">
        <f t="shared" si="22"/>
        <v>2.0179999999999998</v>
      </c>
      <c r="M469" s="13">
        <f t="shared" si="23"/>
        <v>2018</v>
      </c>
      <c r="N469" s="60"/>
      <c r="O469"/>
      <c r="P469"/>
    </row>
    <row r="470" spans="1:16" s="75" customFormat="1">
      <c r="A470" s="72" t="s">
        <v>190</v>
      </c>
      <c r="B470" s="73" t="s">
        <v>2075</v>
      </c>
      <c r="C470" s="110">
        <v>620</v>
      </c>
      <c r="D470" s="110">
        <v>610</v>
      </c>
      <c r="E470" s="110">
        <v>496</v>
      </c>
      <c r="F470" s="110">
        <v>614</v>
      </c>
      <c r="G470" s="110">
        <v>175</v>
      </c>
      <c r="H470" s="110">
        <v>371</v>
      </c>
      <c r="I470" s="111"/>
      <c r="J470" s="10">
        <f t="shared" si="21"/>
        <v>3.7199999999999998</v>
      </c>
      <c r="K470" s="11">
        <v>6</v>
      </c>
      <c r="L470" s="12">
        <f t="shared" si="22"/>
        <v>0.62</v>
      </c>
      <c r="M470" s="13">
        <f t="shared" si="23"/>
        <v>620</v>
      </c>
      <c r="N470" s="60"/>
      <c r="O470"/>
      <c r="P470"/>
    </row>
    <row r="471" spans="1:16" s="75" customFormat="1">
      <c r="A471" s="72" t="s">
        <v>190</v>
      </c>
      <c r="B471" s="73" t="s">
        <v>2076</v>
      </c>
      <c r="C471" s="110">
        <v>102</v>
      </c>
      <c r="D471" s="110">
        <v>87</v>
      </c>
      <c r="E471" s="110">
        <v>63</v>
      </c>
      <c r="F471" s="110">
        <v>96</v>
      </c>
      <c r="G471" s="110">
        <v>14</v>
      </c>
      <c r="H471" s="110">
        <v>45</v>
      </c>
      <c r="I471" s="111"/>
      <c r="J471" s="10">
        <f t="shared" si="21"/>
        <v>0.61199999999999999</v>
      </c>
      <c r="K471" s="11">
        <v>6</v>
      </c>
      <c r="L471" s="12">
        <f t="shared" si="22"/>
        <v>0.10199999999999999</v>
      </c>
      <c r="M471" s="13">
        <f t="shared" si="23"/>
        <v>102</v>
      </c>
      <c r="N471" s="60"/>
      <c r="O471"/>
      <c r="P471"/>
    </row>
    <row r="472" spans="1:16" s="75" customFormat="1">
      <c r="A472" s="72" t="s">
        <v>190</v>
      </c>
      <c r="B472" s="73" t="s">
        <v>2077</v>
      </c>
      <c r="C472" s="110">
        <v>723</v>
      </c>
      <c r="D472" s="110">
        <v>694</v>
      </c>
      <c r="E472" s="110">
        <v>585</v>
      </c>
      <c r="F472" s="110">
        <v>702</v>
      </c>
      <c r="G472" s="110">
        <v>145</v>
      </c>
      <c r="H472" s="110">
        <v>322</v>
      </c>
      <c r="I472" s="111"/>
      <c r="J472" s="10">
        <f t="shared" si="21"/>
        <v>4.3380000000000001</v>
      </c>
      <c r="K472" s="11">
        <v>6</v>
      </c>
      <c r="L472" s="12">
        <f t="shared" si="22"/>
        <v>0.72299999999999998</v>
      </c>
      <c r="M472" s="13">
        <f t="shared" si="23"/>
        <v>723</v>
      </c>
      <c r="N472" s="60"/>
      <c r="O472"/>
      <c r="P472"/>
    </row>
    <row r="473" spans="1:16" s="75" customFormat="1">
      <c r="A473" s="72" t="s">
        <v>190</v>
      </c>
      <c r="B473" s="73" t="s">
        <v>2078</v>
      </c>
      <c r="C473" s="110">
        <v>1145</v>
      </c>
      <c r="D473" s="110">
        <v>1099</v>
      </c>
      <c r="E473" s="110">
        <v>953</v>
      </c>
      <c r="F473" s="110">
        <v>1123</v>
      </c>
      <c r="G473" s="110">
        <v>238</v>
      </c>
      <c r="H473" s="110">
        <v>638</v>
      </c>
      <c r="I473" s="111"/>
      <c r="J473" s="10">
        <f t="shared" si="21"/>
        <v>6.87</v>
      </c>
      <c r="K473" s="11">
        <v>6</v>
      </c>
      <c r="L473" s="12">
        <f t="shared" si="22"/>
        <v>1.145</v>
      </c>
      <c r="M473" s="13">
        <f t="shared" si="23"/>
        <v>1145</v>
      </c>
      <c r="N473" s="60"/>
      <c r="O473"/>
      <c r="P473"/>
    </row>
    <row r="474" spans="1:16" s="75" customFormat="1">
      <c r="A474" s="72" t="s">
        <v>190</v>
      </c>
      <c r="B474" s="73" t="s">
        <v>2079</v>
      </c>
      <c r="C474" s="110">
        <v>607</v>
      </c>
      <c r="D474" s="110">
        <v>566</v>
      </c>
      <c r="E474" s="110">
        <v>490</v>
      </c>
      <c r="F474" s="110">
        <v>589</v>
      </c>
      <c r="G474" s="110">
        <v>142</v>
      </c>
      <c r="H474" s="110">
        <v>340</v>
      </c>
      <c r="I474" s="111"/>
      <c r="J474" s="10">
        <f t="shared" si="21"/>
        <v>3.6419999999999999</v>
      </c>
      <c r="K474" s="11">
        <v>6</v>
      </c>
      <c r="L474" s="12">
        <f t="shared" si="22"/>
        <v>0.60699999999999998</v>
      </c>
      <c r="M474" s="13">
        <f t="shared" si="23"/>
        <v>607</v>
      </c>
      <c r="N474" s="60"/>
      <c r="O474"/>
      <c r="P474"/>
    </row>
    <row r="475" spans="1:16" s="75" customFormat="1">
      <c r="A475" s="72" t="s">
        <v>190</v>
      </c>
      <c r="B475" s="73" t="s">
        <v>2080</v>
      </c>
      <c r="C475" s="110">
        <v>942</v>
      </c>
      <c r="D475" s="110">
        <v>882</v>
      </c>
      <c r="E475" s="110">
        <v>741</v>
      </c>
      <c r="F475" s="110">
        <v>915</v>
      </c>
      <c r="G475" s="110">
        <v>217</v>
      </c>
      <c r="H475" s="110">
        <v>520</v>
      </c>
      <c r="I475" s="111"/>
      <c r="J475" s="10">
        <f t="shared" si="21"/>
        <v>5.6519999999999992</v>
      </c>
      <c r="K475" s="11">
        <v>6</v>
      </c>
      <c r="L475" s="12">
        <f t="shared" si="22"/>
        <v>0.94199999999999995</v>
      </c>
      <c r="M475" s="13">
        <f t="shared" si="23"/>
        <v>942</v>
      </c>
      <c r="N475" s="60"/>
      <c r="O475"/>
      <c r="P475"/>
    </row>
    <row r="476" spans="1:16" s="75" customFormat="1">
      <c r="A476" s="72" t="s">
        <v>190</v>
      </c>
      <c r="B476" s="73" t="s">
        <v>2081</v>
      </c>
      <c r="C476" s="110">
        <v>3492</v>
      </c>
      <c r="D476" s="110">
        <v>3402</v>
      </c>
      <c r="E476" s="110">
        <v>2995</v>
      </c>
      <c r="F476" s="110">
        <v>3419</v>
      </c>
      <c r="G476" s="110">
        <v>1051</v>
      </c>
      <c r="H476" s="110">
        <v>2395</v>
      </c>
      <c r="I476" s="111"/>
      <c r="J476" s="10">
        <f t="shared" si="21"/>
        <v>20.951999999999998</v>
      </c>
      <c r="K476" s="11">
        <v>6</v>
      </c>
      <c r="L476" s="12">
        <f t="shared" si="22"/>
        <v>3.492</v>
      </c>
      <c r="M476" s="13">
        <f t="shared" si="23"/>
        <v>3492</v>
      </c>
      <c r="N476" s="60"/>
      <c r="O476"/>
      <c r="P476"/>
    </row>
    <row r="477" spans="1:16" s="75" customFormat="1">
      <c r="A477" s="72" t="s">
        <v>190</v>
      </c>
      <c r="B477" s="73" t="s">
        <v>2082</v>
      </c>
      <c r="C477" s="110">
        <v>1632</v>
      </c>
      <c r="D477" s="110">
        <v>1556</v>
      </c>
      <c r="E477" s="110">
        <v>1238</v>
      </c>
      <c r="F477" s="110">
        <v>1598</v>
      </c>
      <c r="G477" s="110">
        <v>332</v>
      </c>
      <c r="H477" s="110">
        <v>832</v>
      </c>
      <c r="I477" s="111"/>
      <c r="J477" s="10">
        <f t="shared" si="21"/>
        <v>9.7919999999999998</v>
      </c>
      <c r="K477" s="11">
        <v>6</v>
      </c>
      <c r="L477" s="12">
        <f t="shared" si="22"/>
        <v>1.6319999999999999</v>
      </c>
      <c r="M477" s="13">
        <f t="shared" si="23"/>
        <v>1632</v>
      </c>
      <c r="N477" s="60"/>
      <c r="O477"/>
      <c r="P477"/>
    </row>
    <row r="478" spans="1:16" s="75" customFormat="1">
      <c r="A478" s="72" t="s">
        <v>190</v>
      </c>
      <c r="B478" s="73" t="s">
        <v>2083</v>
      </c>
      <c r="C478" s="110">
        <v>835</v>
      </c>
      <c r="D478" s="110">
        <v>810</v>
      </c>
      <c r="E478" s="110">
        <v>677</v>
      </c>
      <c r="F478" s="110">
        <v>818</v>
      </c>
      <c r="G478" s="110">
        <v>194</v>
      </c>
      <c r="H478" s="110">
        <v>474</v>
      </c>
      <c r="I478" s="111"/>
      <c r="J478" s="10">
        <f t="shared" si="21"/>
        <v>5.01</v>
      </c>
      <c r="K478" s="11">
        <v>6</v>
      </c>
      <c r="L478" s="12">
        <f t="shared" si="22"/>
        <v>0.83499999999999996</v>
      </c>
      <c r="M478" s="13">
        <f t="shared" si="23"/>
        <v>835</v>
      </c>
      <c r="N478" s="60"/>
      <c r="O478"/>
      <c r="P478"/>
    </row>
    <row r="479" spans="1:16" s="75" customFormat="1">
      <c r="A479" s="72" t="s">
        <v>190</v>
      </c>
      <c r="B479" s="73" t="s">
        <v>2084</v>
      </c>
      <c r="C479" s="110">
        <v>1147</v>
      </c>
      <c r="D479" s="110">
        <v>1115</v>
      </c>
      <c r="E479" s="110">
        <v>934</v>
      </c>
      <c r="F479" s="110">
        <v>1122</v>
      </c>
      <c r="G479" s="110">
        <v>270</v>
      </c>
      <c r="H479" s="110">
        <v>639</v>
      </c>
      <c r="I479" s="111"/>
      <c r="J479" s="10">
        <f t="shared" si="21"/>
        <v>6.8819999999999997</v>
      </c>
      <c r="K479" s="11">
        <v>6</v>
      </c>
      <c r="L479" s="12">
        <f t="shared" si="22"/>
        <v>1.147</v>
      </c>
      <c r="M479" s="13">
        <f t="shared" si="23"/>
        <v>1147</v>
      </c>
      <c r="N479" s="60"/>
      <c r="O479"/>
      <c r="P479"/>
    </row>
    <row r="480" spans="1:16" s="75" customFormat="1">
      <c r="A480" s="72" t="s">
        <v>190</v>
      </c>
      <c r="B480" s="73" t="s">
        <v>2085</v>
      </c>
      <c r="C480" s="110">
        <v>1376</v>
      </c>
      <c r="D480" s="110">
        <v>1338</v>
      </c>
      <c r="E480" s="110">
        <v>1140</v>
      </c>
      <c r="F480" s="110">
        <v>1334</v>
      </c>
      <c r="G480" s="110">
        <v>403</v>
      </c>
      <c r="H480" s="110">
        <v>930</v>
      </c>
      <c r="I480" s="111"/>
      <c r="J480" s="10">
        <f t="shared" si="21"/>
        <v>8.2560000000000002</v>
      </c>
      <c r="K480" s="11">
        <v>6</v>
      </c>
      <c r="L480" s="12">
        <f t="shared" si="22"/>
        <v>1.3759999999999999</v>
      </c>
      <c r="M480" s="13">
        <f t="shared" si="23"/>
        <v>1376</v>
      </c>
      <c r="N480" s="60"/>
      <c r="O480"/>
      <c r="P480"/>
    </row>
    <row r="481" spans="1:16" s="75" customFormat="1" ht="12">
      <c r="A481" s="40" t="s">
        <v>268</v>
      </c>
      <c r="B481" s="40" t="s">
        <v>1159</v>
      </c>
      <c r="C481" s="97">
        <v>317</v>
      </c>
      <c r="D481" s="97">
        <v>314</v>
      </c>
      <c r="E481" s="97">
        <v>236</v>
      </c>
      <c r="F481" s="97">
        <v>70</v>
      </c>
      <c r="G481" s="97">
        <v>315</v>
      </c>
      <c r="H481" s="97">
        <v>160</v>
      </c>
      <c r="I481" s="98"/>
      <c r="J481" s="10">
        <f t="shared" si="21"/>
        <v>1.9020000000000001</v>
      </c>
      <c r="K481" s="11">
        <v>6</v>
      </c>
      <c r="L481" s="12">
        <f t="shared" si="22"/>
        <v>0.317</v>
      </c>
      <c r="M481" s="13">
        <f t="shared" si="23"/>
        <v>317</v>
      </c>
      <c r="N481" s="15"/>
      <c r="O481" s="5"/>
      <c r="P481" s="5"/>
    </row>
    <row r="482" spans="1:16" s="75" customFormat="1" ht="12">
      <c r="A482" s="40" t="s">
        <v>268</v>
      </c>
      <c r="B482" s="40" t="s">
        <v>1225</v>
      </c>
      <c r="C482" s="97">
        <v>1489</v>
      </c>
      <c r="D482" s="97">
        <v>1446</v>
      </c>
      <c r="E482" s="97">
        <v>1147</v>
      </c>
      <c r="F482" s="97">
        <v>302</v>
      </c>
      <c r="G482" s="97">
        <v>1462</v>
      </c>
      <c r="H482" s="97">
        <v>799</v>
      </c>
      <c r="I482" s="98"/>
      <c r="J482" s="10">
        <f t="shared" si="21"/>
        <v>8.9340000000000011</v>
      </c>
      <c r="K482" s="11">
        <v>6</v>
      </c>
      <c r="L482" s="12">
        <f t="shared" si="22"/>
        <v>1.4890000000000001</v>
      </c>
      <c r="M482" s="13">
        <f t="shared" si="23"/>
        <v>1489</v>
      </c>
      <c r="N482" s="15"/>
      <c r="O482" s="5"/>
      <c r="P482" s="40"/>
    </row>
    <row r="483" spans="1:16" s="75" customFormat="1">
      <c r="A483" s="72" t="s">
        <v>190</v>
      </c>
      <c r="B483" s="73" t="s">
        <v>2086</v>
      </c>
      <c r="C483" s="110">
        <v>2064</v>
      </c>
      <c r="D483" s="110">
        <v>2008</v>
      </c>
      <c r="E483" s="110">
        <v>1724</v>
      </c>
      <c r="F483" s="110">
        <v>2027</v>
      </c>
      <c r="G483" s="110">
        <v>525</v>
      </c>
      <c r="H483" s="110">
        <v>1186</v>
      </c>
      <c r="I483" s="111"/>
      <c r="J483" s="10">
        <f t="shared" si="21"/>
        <v>10.32</v>
      </c>
      <c r="K483" s="11">
        <v>5</v>
      </c>
      <c r="L483" s="12">
        <f t="shared" si="22"/>
        <v>2.0640000000000001</v>
      </c>
      <c r="M483" s="13">
        <f t="shared" si="23"/>
        <v>2064</v>
      </c>
      <c r="N483" s="60"/>
      <c r="O483"/>
      <c r="P483" s="55"/>
    </row>
    <row r="484" spans="1:16" s="75" customFormat="1" ht="12">
      <c r="A484" s="40" t="s">
        <v>268</v>
      </c>
      <c r="B484" s="40" t="s">
        <v>1309</v>
      </c>
      <c r="C484" s="97">
        <v>547</v>
      </c>
      <c r="D484" s="97">
        <v>536</v>
      </c>
      <c r="E484" s="97">
        <v>447</v>
      </c>
      <c r="F484" s="97">
        <v>188</v>
      </c>
      <c r="G484" s="97">
        <v>542</v>
      </c>
      <c r="H484" s="97">
        <v>367</v>
      </c>
      <c r="I484" s="98"/>
      <c r="J484" s="10">
        <f t="shared" si="21"/>
        <v>3.282</v>
      </c>
      <c r="K484" s="11">
        <v>6</v>
      </c>
      <c r="L484" s="12">
        <f t="shared" si="22"/>
        <v>0.54700000000000004</v>
      </c>
      <c r="M484" s="13">
        <f t="shared" si="23"/>
        <v>547</v>
      </c>
      <c r="N484" s="15"/>
      <c r="O484" s="5"/>
      <c r="P484" s="5"/>
    </row>
    <row r="485" spans="1:16" s="75" customFormat="1" ht="12">
      <c r="A485" s="40" t="s">
        <v>268</v>
      </c>
      <c r="B485" s="40" t="s">
        <v>1312</v>
      </c>
      <c r="C485" s="97">
        <v>1040</v>
      </c>
      <c r="D485" s="97">
        <v>1022</v>
      </c>
      <c r="E485" s="97">
        <v>843</v>
      </c>
      <c r="F485" s="97">
        <v>230</v>
      </c>
      <c r="G485" s="97">
        <v>1025</v>
      </c>
      <c r="H485" s="97">
        <v>515</v>
      </c>
      <c r="I485" s="98"/>
      <c r="J485" s="10">
        <f t="shared" si="21"/>
        <v>6.24</v>
      </c>
      <c r="K485" s="11">
        <v>6</v>
      </c>
      <c r="L485" s="12">
        <f t="shared" si="22"/>
        <v>1.04</v>
      </c>
      <c r="M485" s="13">
        <f t="shared" si="23"/>
        <v>1040</v>
      </c>
      <c r="N485" s="15"/>
      <c r="O485" s="5"/>
      <c r="P485" s="5"/>
    </row>
    <row r="486" spans="1:16" s="75" customFormat="1" ht="12">
      <c r="A486" s="40" t="s">
        <v>268</v>
      </c>
      <c r="B486" s="40" t="s">
        <v>1324</v>
      </c>
      <c r="C486" s="97">
        <v>660</v>
      </c>
      <c r="D486" s="97">
        <v>654</v>
      </c>
      <c r="E486" s="97">
        <v>543</v>
      </c>
      <c r="F486" s="97">
        <v>152</v>
      </c>
      <c r="G486" s="97">
        <v>649</v>
      </c>
      <c r="H486" s="97">
        <v>355</v>
      </c>
      <c r="I486" s="98"/>
      <c r="J486" s="10">
        <f t="shared" si="21"/>
        <v>3.96</v>
      </c>
      <c r="K486" s="11">
        <v>6</v>
      </c>
      <c r="L486" s="12">
        <f t="shared" si="22"/>
        <v>0.66</v>
      </c>
      <c r="M486" s="13">
        <f t="shared" si="23"/>
        <v>660</v>
      </c>
      <c r="N486" s="15"/>
      <c r="O486" s="5"/>
      <c r="P486" s="5"/>
    </row>
    <row r="487" spans="1:16" s="75" customFormat="1" ht="12">
      <c r="A487" s="40" t="s">
        <v>268</v>
      </c>
      <c r="B487" s="40" t="s">
        <v>1340</v>
      </c>
      <c r="C487" s="97">
        <v>2230</v>
      </c>
      <c r="D487" s="97">
        <v>2189</v>
      </c>
      <c r="E487" s="97">
        <v>1798</v>
      </c>
      <c r="F487" s="97">
        <v>513</v>
      </c>
      <c r="G487" s="97">
        <v>2181</v>
      </c>
      <c r="H487" s="97">
        <v>1194</v>
      </c>
      <c r="I487" s="98"/>
      <c r="J487" s="10">
        <f t="shared" si="21"/>
        <v>13.379999999999999</v>
      </c>
      <c r="K487" s="11">
        <v>6</v>
      </c>
      <c r="L487" s="12">
        <f t="shared" si="22"/>
        <v>2.23</v>
      </c>
      <c r="M487" s="13">
        <f t="shared" si="23"/>
        <v>2230</v>
      </c>
      <c r="N487" s="15"/>
      <c r="O487" s="5"/>
      <c r="P487" s="5"/>
    </row>
    <row r="488" spans="1:16" s="75" customFormat="1" ht="12">
      <c r="A488" s="40" t="s">
        <v>268</v>
      </c>
      <c r="B488" s="40" t="s">
        <v>1961</v>
      </c>
      <c r="C488" s="97">
        <v>351</v>
      </c>
      <c r="D488" s="97">
        <v>346</v>
      </c>
      <c r="E488" s="97">
        <v>252</v>
      </c>
      <c r="F488" s="97">
        <v>80</v>
      </c>
      <c r="G488" s="97">
        <v>338</v>
      </c>
      <c r="H488" s="97">
        <v>175</v>
      </c>
      <c r="I488" s="98"/>
      <c r="J488" s="10">
        <f t="shared" si="21"/>
        <v>2.1059999999999999</v>
      </c>
      <c r="K488" s="11">
        <v>6</v>
      </c>
      <c r="L488" s="12">
        <f t="shared" si="22"/>
        <v>0.35099999999999998</v>
      </c>
      <c r="M488" s="13">
        <f t="shared" si="23"/>
        <v>351</v>
      </c>
      <c r="N488" s="15"/>
      <c r="O488" s="5"/>
      <c r="P488" s="5"/>
    </row>
    <row r="489" spans="1:16" s="75" customFormat="1" ht="12">
      <c r="A489" s="40" t="s">
        <v>268</v>
      </c>
      <c r="B489" s="40" t="s">
        <v>1346</v>
      </c>
      <c r="C489" s="97">
        <v>1355</v>
      </c>
      <c r="D489" s="97">
        <v>1340</v>
      </c>
      <c r="E489" s="97">
        <v>939</v>
      </c>
      <c r="F489" s="97">
        <v>295</v>
      </c>
      <c r="G489" s="97">
        <v>1315</v>
      </c>
      <c r="H489" s="97">
        <v>689</v>
      </c>
      <c r="I489" s="98"/>
      <c r="J489" s="10">
        <f t="shared" si="21"/>
        <v>8.129999999999999</v>
      </c>
      <c r="K489" s="11">
        <v>6</v>
      </c>
      <c r="L489" s="12">
        <f t="shared" si="22"/>
        <v>1.355</v>
      </c>
      <c r="M489" s="13">
        <f t="shared" si="23"/>
        <v>1355</v>
      </c>
      <c r="N489" s="15"/>
      <c r="O489" s="5"/>
      <c r="P489" s="5"/>
    </row>
    <row r="490" spans="1:16" s="75" customFormat="1" ht="12">
      <c r="A490" s="40" t="s">
        <v>268</v>
      </c>
      <c r="B490" s="40" t="s">
        <v>1355</v>
      </c>
      <c r="C490" s="97">
        <v>1107</v>
      </c>
      <c r="D490" s="97">
        <v>1097</v>
      </c>
      <c r="E490" s="97">
        <v>924</v>
      </c>
      <c r="F490" s="97">
        <v>288</v>
      </c>
      <c r="G490" s="97">
        <v>1089</v>
      </c>
      <c r="H490" s="97">
        <v>698</v>
      </c>
      <c r="I490" s="98"/>
      <c r="J490" s="10">
        <f t="shared" si="21"/>
        <v>6.6419999999999995</v>
      </c>
      <c r="K490" s="11">
        <v>6</v>
      </c>
      <c r="L490" s="12">
        <f t="shared" si="22"/>
        <v>1.107</v>
      </c>
      <c r="M490" s="13">
        <f t="shared" si="23"/>
        <v>1107</v>
      </c>
      <c r="N490" s="15"/>
      <c r="O490" s="5"/>
      <c r="P490" s="5"/>
    </row>
    <row r="491" spans="1:16" s="75" customFormat="1" ht="12">
      <c r="A491" s="40" t="s">
        <v>268</v>
      </c>
      <c r="B491" s="40" t="s">
        <v>1359</v>
      </c>
      <c r="C491" s="97">
        <v>464</v>
      </c>
      <c r="D491" s="97">
        <v>447</v>
      </c>
      <c r="E491" s="97">
        <v>370</v>
      </c>
      <c r="F491" s="97">
        <v>108</v>
      </c>
      <c r="G491" s="97">
        <v>449</v>
      </c>
      <c r="H491" s="97">
        <v>258</v>
      </c>
      <c r="I491" s="98"/>
      <c r="J491" s="10">
        <f t="shared" si="21"/>
        <v>2.7840000000000003</v>
      </c>
      <c r="K491" s="11">
        <v>6</v>
      </c>
      <c r="L491" s="12">
        <f t="shared" si="22"/>
        <v>0.46400000000000002</v>
      </c>
      <c r="M491" s="13">
        <f t="shared" si="23"/>
        <v>464</v>
      </c>
      <c r="N491" s="15"/>
      <c r="O491" s="5"/>
      <c r="P491" s="5"/>
    </row>
    <row r="492" spans="1:16" s="75" customFormat="1" ht="12">
      <c r="A492" s="40" t="s">
        <v>268</v>
      </c>
      <c r="B492" s="40" t="s">
        <v>1403</v>
      </c>
      <c r="C492" s="97">
        <v>662</v>
      </c>
      <c r="D492" s="97">
        <v>651</v>
      </c>
      <c r="E492" s="97">
        <v>522</v>
      </c>
      <c r="F492" s="97">
        <v>179</v>
      </c>
      <c r="G492" s="97">
        <v>645</v>
      </c>
      <c r="H492" s="97">
        <v>378</v>
      </c>
      <c r="I492" s="98"/>
      <c r="J492" s="10">
        <f t="shared" si="21"/>
        <v>3.9720000000000004</v>
      </c>
      <c r="K492" s="11">
        <v>6</v>
      </c>
      <c r="L492" s="12">
        <f t="shared" si="22"/>
        <v>0.66200000000000003</v>
      </c>
      <c r="M492" s="13">
        <f t="shared" si="23"/>
        <v>662</v>
      </c>
      <c r="N492" s="15"/>
      <c r="O492" s="5"/>
      <c r="P492" s="5"/>
    </row>
    <row r="493" spans="1:16" s="86" customFormat="1" ht="12">
      <c r="A493" s="40" t="s">
        <v>268</v>
      </c>
      <c r="B493" s="40" t="s">
        <v>1407</v>
      </c>
      <c r="C493" s="97">
        <v>614</v>
      </c>
      <c r="D493" s="97">
        <v>593</v>
      </c>
      <c r="E493" s="97">
        <v>475</v>
      </c>
      <c r="F493" s="97">
        <v>161</v>
      </c>
      <c r="G493" s="97">
        <v>594</v>
      </c>
      <c r="H493" s="97">
        <v>361</v>
      </c>
      <c r="I493" s="98"/>
      <c r="J493" s="10">
        <f t="shared" si="21"/>
        <v>3.6840000000000002</v>
      </c>
      <c r="K493" s="11">
        <v>6</v>
      </c>
      <c r="L493" s="12">
        <f t="shared" si="22"/>
        <v>0.61399999999999999</v>
      </c>
      <c r="M493" s="13">
        <f t="shared" si="23"/>
        <v>614</v>
      </c>
      <c r="N493" s="15"/>
      <c r="O493" s="5"/>
      <c r="P493" s="5"/>
    </row>
    <row r="494" spans="1:16" s="75" customFormat="1" ht="12">
      <c r="A494" s="40" t="s">
        <v>268</v>
      </c>
      <c r="B494" s="40" t="s">
        <v>1441</v>
      </c>
      <c r="C494" s="97">
        <v>1875</v>
      </c>
      <c r="D494" s="97">
        <v>1839</v>
      </c>
      <c r="E494" s="97">
        <v>1526</v>
      </c>
      <c r="F494" s="97">
        <v>420</v>
      </c>
      <c r="G494" s="97">
        <v>1849</v>
      </c>
      <c r="H494" s="97">
        <v>1211</v>
      </c>
      <c r="I494" s="98"/>
      <c r="J494" s="10">
        <f t="shared" si="21"/>
        <v>11.25</v>
      </c>
      <c r="K494" s="11">
        <v>6</v>
      </c>
      <c r="L494" s="12">
        <f t="shared" si="22"/>
        <v>1.875</v>
      </c>
      <c r="M494" s="13">
        <f t="shared" si="23"/>
        <v>1875</v>
      </c>
      <c r="N494" s="15"/>
      <c r="O494" s="5"/>
      <c r="P494" s="5"/>
    </row>
    <row r="495" spans="1:16" s="75" customFormat="1" ht="12">
      <c r="A495" s="40" t="s">
        <v>268</v>
      </c>
      <c r="B495" s="40" t="s">
        <v>1469</v>
      </c>
      <c r="C495" s="97">
        <v>1420</v>
      </c>
      <c r="D495" s="97">
        <v>1395</v>
      </c>
      <c r="E495" s="97">
        <v>1185</v>
      </c>
      <c r="F495" s="97">
        <v>346</v>
      </c>
      <c r="G495" s="97">
        <v>1388</v>
      </c>
      <c r="H495" s="97">
        <v>808</v>
      </c>
      <c r="I495" s="98"/>
      <c r="J495" s="10">
        <f t="shared" si="21"/>
        <v>8.52</v>
      </c>
      <c r="K495" s="11">
        <v>6</v>
      </c>
      <c r="L495" s="12">
        <f t="shared" si="22"/>
        <v>1.42</v>
      </c>
      <c r="M495" s="13">
        <f t="shared" si="23"/>
        <v>1420</v>
      </c>
      <c r="N495" s="15"/>
      <c r="O495" s="5"/>
      <c r="P495" s="5"/>
    </row>
    <row r="496" spans="1:16" s="75" customFormat="1" ht="12">
      <c r="A496" s="40" t="s">
        <v>268</v>
      </c>
      <c r="B496" s="40" t="s">
        <v>1503</v>
      </c>
      <c r="C496" s="97">
        <v>714</v>
      </c>
      <c r="D496" s="97">
        <v>706</v>
      </c>
      <c r="E496" s="97">
        <v>598</v>
      </c>
      <c r="F496" s="97">
        <v>215</v>
      </c>
      <c r="G496" s="97">
        <v>700</v>
      </c>
      <c r="H496" s="97">
        <v>436</v>
      </c>
      <c r="I496" s="98"/>
      <c r="J496" s="10">
        <f t="shared" si="21"/>
        <v>4.2839999999999998</v>
      </c>
      <c r="K496" s="11">
        <v>6</v>
      </c>
      <c r="L496" s="12">
        <f t="shared" si="22"/>
        <v>0.71399999999999997</v>
      </c>
      <c r="M496" s="13">
        <f t="shared" si="23"/>
        <v>714</v>
      </c>
      <c r="N496" s="15"/>
      <c r="O496" s="5"/>
      <c r="P496" s="5"/>
    </row>
    <row r="497" spans="1:16" s="75" customFormat="1" ht="12">
      <c r="A497" s="40" t="s">
        <v>268</v>
      </c>
      <c r="B497" s="40" t="s">
        <v>1522</v>
      </c>
      <c r="C497" s="97">
        <v>476</v>
      </c>
      <c r="D497" s="97">
        <v>466</v>
      </c>
      <c r="E497" s="97">
        <v>341</v>
      </c>
      <c r="F497" s="97">
        <v>108</v>
      </c>
      <c r="G497" s="97">
        <v>470</v>
      </c>
      <c r="H497" s="97">
        <v>252</v>
      </c>
      <c r="I497" s="98"/>
      <c r="J497" s="10">
        <f t="shared" si="21"/>
        <v>2.8559999999999999</v>
      </c>
      <c r="K497" s="11">
        <v>6</v>
      </c>
      <c r="L497" s="12">
        <f t="shared" si="22"/>
        <v>0.47599999999999998</v>
      </c>
      <c r="M497" s="13">
        <f t="shared" si="23"/>
        <v>476</v>
      </c>
      <c r="N497" s="15"/>
      <c r="O497" s="5"/>
      <c r="P497" s="5"/>
    </row>
    <row r="498" spans="1:16" s="75" customFormat="1" ht="12">
      <c r="A498" s="40" t="s">
        <v>268</v>
      </c>
      <c r="B498" s="40" t="s">
        <v>1526</v>
      </c>
      <c r="C498" s="97">
        <v>703</v>
      </c>
      <c r="D498" s="97">
        <v>689</v>
      </c>
      <c r="E498" s="97">
        <v>556</v>
      </c>
      <c r="F498" s="97">
        <v>169</v>
      </c>
      <c r="G498" s="97">
        <v>684</v>
      </c>
      <c r="H498" s="97">
        <v>371</v>
      </c>
      <c r="I498" s="98"/>
      <c r="J498" s="10">
        <f t="shared" si="21"/>
        <v>4.218</v>
      </c>
      <c r="K498" s="11">
        <v>6</v>
      </c>
      <c r="L498" s="12">
        <f t="shared" si="22"/>
        <v>0.70299999999999996</v>
      </c>
      <c r="M498" s="13">
        <f t="shared" si="23"/>
        <v>703</v>
      </c>
      <c r="N498" s="15"/>
      <c r="O498" s="5"/>
      <c r="P498" s="5"/>
    </row>
    <row r="499" spans="1:16" s="75" customFormat="1" ht="12">
      <c r="A499" s="40" t="s">
        <v>268</v>
      </c>
      <c r="B499" s="40" t="s">
        <v>1563</v>
      </c>
      <c r="C499" s="97">
        <v>1078</v>
      </c>
      <c r="D499" s="97">
        <v>1065</v>
      </c>
      <c r="E499" s="97">
        <v>894</v>
      </c>
      <c r="F499" s="97">
        <v>258</v>
      </c>
      <c r="G499" s="97">
        <v>1064</v>
      </c>
      <c r="H499" s="97">
        <v>611</v>
      </c>
      <c r="I499" s="98"/>
      <c r="J499" s="10">
        <f t="shared" si="21"/>
        <v>6.468</v>
      </c>
      <c r="K499" s="11">
        <v>6</v>
      </c>
      <c r="L499" s="12">
        <f t="shared" si="22"/>
        <v>1.0780000000000001</v>
      </c>
      <c r="M499" s="13">
        <f t="shared" si="23"/>
        <v>1078</v>
      </c>
      <c r="N499" s="15"/>
      <c r="O499" s="5"/>
      <c r="P499" s="5"/>
    </row>
    <row r="500" spans="1:16" s="75" customFormat="1" ht="12">
      <c r="A500" s="40" t="s">
        <v>268</v>
      </c>
      <c r="B500" s="40" t="s">
        <v>1569</v>
      </c>
      <c r="C500" s="97">
        <v>2524</v>
      </c>
      <c r="D500" s="97">
        <v>2506</v>
      </c>
      <c r="E500" s="97">
        <v>2144</v>
      </c>
      <c r="F500" s="97">
        <v>610</v>
      </c>
      <c r="G500" s="97">
        <v>2497</v>
      </c>
      <c r="H500" s="97">
        <v>1457</v>
      </c>
      <c r="I500" s="98"/>
      <c r="J500" s="10">
        <f t="shared" si="21"/>
        <v>15.144</v>
      </c>
      <c r="K500" s="11">
        <v>6</v>
      </c>
      <c r="L500" s="12">
        <f t="shared" si="22"/>
        <v>2.524</v>
      </c>
      <c r="M500" s="13">
        <f t="shared" si="23"/>
        <v>2524</v>
      </c>
      <c r="N500" s="15"/>
      <c r="O500" s="5"/>
      <c r="P500" s="5"/>
    </row>
    <row r="501" spans="1:16" s="75" customFormat="1" ht="12">
      <c r="A501" s="40" t="s">
        <v>268</v>
      </c>
      <c r="B501" s="40" t="s">
        <v>1580</v>
      </c>
      <c r="C501" s="97">
        <v>758</v>
      </c>
      <c r="D501" s="97">
        <v>750</v>
      </c>
      <c r="E501" s="97">
        <v>652</v>
      </c>
      <c r="F501" s="97">
        <v>227</v>
      </c>
      <c r="G501" s="97">
        <v>740</v>
      </c>
      <c r="H501" s="97">
        <v>446</v>
      </c>
      <c r="I501" s="98"/>
      <c r="J501" s="10">
        <f t="shared" si="21"/>
        <v>4.548</v>
      </c>
      <c r="K501" s="11">
        <v>6</v>
      </c>
      <c r="L501" s="12">
        <f t="shared" si="22"/>
        <v>0.75800000000000001</v>
      </c>
      <c r="M501" s="13">
        <f t="shared" si="23"/>
        <v>758</v>
      </c>
      <c r="N501" s="15"/>
      <c r="O501" s="5"/>
      <c r="P501" s="5"/>
    </row>
    <row r="502" spans="1:16" s="75" customFormat="1" ht="12">
      <c r="A502" s="40" t="s">
        <v>268</v>
      </c>
      <c r="B502" s="40" t="s">
        <v>1587</v>
      </c>
      <c r="C502" s="97">
        <v>1283</v>
      </c>
      <c r="D502" s="97">
        <v>1254</v>
      </c>
      <c r="E502" s="97">
        <v>1036</v>
      </c>
      <c r="F502" s="97">
        <v>293</v>
      </c>
      <c r="G502" s="97">
        <v>1245</v>
      </c>
      <c r="H502" s="97">
        <v>674</v>
      </c>
      <c r="I502" s="98"/>
      <c r="J502" s="10">
        <f t="shared" si="21"/>
        <v>7.6979999999999995</v>
      </c>
      <c r="K502" s="11">
        <v>6</v>
      </c>
      <c r="L502" s="12">
        <f t="shared" si="22"/>
        <v>1.2829999999999999</v>
      </c>
      <c r="M502" s="13">
        <f t="shared" si="23"/>
        <v>1283</v>
      </c>
      <c r="N502" s="15"/>
      <c r="O502" s="5"/>
      <c r="P502" s="5"/>
    </row>
    <row r="503" spans="1:16" s="75" customFormat="1" ht="12">
      <c r="A503" s="40" t="s">
        <v>268</v>
      </c>
      <c r="B503" s="40" t="s">
        <v>1962</v>
      </c>
      <c r="C503" s="97">
        <v>1310</v>
      </c>
      <c r="D503" s="97">
        <v>1290</v>
      </c>
      <c r="E503" s="97">
        <v>1090</v>
      </c>
      <c r="F503" s="97">
        <v>375</v>
      </c>
      <c r="G503" s="97">
        <v>1292</v>
      </c>
      <c r="H503" s="97">
        <v>802</v>
      </c>
      <c r="I503" s="98"/>
      <c r="J503" s="10">
        <f t="shared" si="21"/>
        <v>7.86</v>
      </c>
      <c r="K503" s="11">
        <v>6</v>
      </c>
      <c r="L503" s="12">
        <f t="shared" si="22"/>
        <v>1.31</v>
      </c>
      <c r="M503" s="13">
        <f t="shared" si="23"/>
        <v>1310</v>
      </c>
      <c r="N503" s="15"/>
      <c r="O503" s="5"/>
      <c r="P503" s="5"/>
    </row>
    <row r="504" spans="1:16" s="75" customFormat="1" ht="12">
      <c r="A504" s="40" t="s">
        <v>268</v>
      </c>
      <c r="B504" s="40" t="s">
        <v>1963</v>
      </c>
      <c r="C504" s="97">
        <v>1578</v>
      </c>
      <c r="D504" s="97">
        <v>1545</v>
      </c>
      <c r="E504" s="97">
        <v>1201</v>
      </c>
      <c r="F504" s="97">
        <v>357</v>
      </c>
      <c r="G504" s="97">
        <v>1557</v>
      </c>
      <c r="H504" s="97">
        <v>865</v>
      </c>
      <c r="I504" s="98"/>
      <c r="J504" s="10">
        <f t="shared" si="21"/>
        <v>9.468</v>
      </c>
      <c r="K504" s="11">
        <v>6</v>
      </c>
      <c r="L504" s="12">
        <f t="shared" si="22"/>
        <v>1.5780000000000001</v>
      </c>
      <c r="M504" s="13">
        <f t="shared" si="23"/>
        <v>1578</v>
      </c>
      <c r="N504" s="15"/>
      <c r="O504" s="5"/>
      <c r="P504" s="5"/>
    </row>
    <row r="505" spans="1:16" s="75" customFormat="1" ht="12">
      <c r="A505" s="40" t="s">
        <v>268</v>
      </c>
      <c r="B505" s="40" t="s">
        <v>1628</v>
      </c>
      <c r="C505" s="97">
        <v>385</v>
      </c>
      <c r="D505" s="97">
        <v>371</v>
      </c>
      <c r="E505" s="97">
        <v>311</v>
      </c>
      <c r="F505" s="97">
        <v>108</v>
      </c>
      <c r="G505" s="97">
        <v>378</v>
      </c>
      <c r="H505" s="97">
        <v>238</v>
      </c>
      <c r="I505" s="98"/>
      <c r="J505" s="10">
        <f t="shared" si="21"/>
        <v>2.31</v>
      </c>
      <c r="K505" s="11">
        <v>6</v>
      </c>
      <c r="L505" s="12">
        <f t="shared" si="22"/>
        <v>0.38500000000000001</v>
      </c>
      <c r="M505" s="13">
        <f t="shared" si="23"/>
        <v>385</v>
      </c>
      <c r="N505" s="15"/>
      <c r="O505" s="5"/>
      <c r="P505" s="5"/>
    </row>
    <row r="506" spans="1:16" s="75" customFormat="1" ht="12">
      <c r="A506" s="40" t="s">
        <v>268</v>
      </c>
      <c r="B506" s="40" t="s">
        <v>1744</v>
      </c>
      <c r="C506" s="97">
        <v>1346</v>
      </c>
      <c r="D506" s="97">
        <v>1330</v>
      </c>
      <c r="E506" s="97">
        <v>1091</v>
      </c>
      <c r="F506" s="97">
        <v>346</v>
      </c>
      <c r="G506" s="97">
        <v>1310</v>
      </c>
      <c r="H506" s="97">
        <v>774</v>
      </c>
      <c r="I506" s="98"/>
      <c r="J506" s="10">
        <f t="shared" si="21"/>
        <v>8.0760000000000005</v>
      </c>
      <c r="K506" s="11">
        <v>6</v>
      </c>
      <c r="L506" s="12">
        <f t="shared" si="22"/>
        <v>1.3460000000000001</v>
      </c>
      <c r="M506" s="13">
        <f t="shared" si="23"/>
        <v>1346</v>
      </c>
      <c r="N506" s="15"/>
      <c r="O506" s="5"/>
      <c r="P506" s="5"/>
    </row>
    <row r="507" spans="1:16" s="75" customFormat="1" ht="12">
      <c r="A507" s="40" t="s">
        <v>268</v>
      </c>
      <c r="B507" s="40" t="s">
        <v>1758</v>
      </c>
      <c r="C507" s="97">
        <v>1536</v>
      </c>
      <c r="D507" s="97">
        <v>1498</v>
      </c>
      <c r="E507" s="97">
        <v>1243</v>
      </c>
      <c r="F507" s="97">
        <v>288</v>
      </c>
      <c r="G507" s="97">
        <v>1507</v>
      </c>
      <c r="H507" s="97">
        <v>804</v>
      </c>
      <c r="I507" s="98"/>
      <c r="J507" s="10">
        <f t="shared" si="21"/>
        <v>9.2160000000000011</v>
      </c>
      <c r="K507" s="11">
        <v>6</v>
      </c>
      <c r="L507" s="12">
        <f t="shared" si="22"/>
        <v>1.536</v>
      </c>
      <c r="M507" s="13">
        <f t="shared" si="23"/>
        <v>1536</v>
      </c>
      <c r="N507" s="15"/>
      <c r="O507" s="5"/>
      <c r="P507" s="5"/>
    </row>
    <row r="508" spans="1:16" s="75" customFormat="1" ht="12">
      <c r="A508" s="40" t="s">
        <v>268</v>
      </c>
      <c r="B508" s="40" t="s">
        <v>1772</v>
      </c>
      <c r="C508" s="97">
        <v>1021</v>
      </c>
      <c r="D508" s="97">
        <v>1007</v>
      </c>
      <c r="E508" s="97">
        <v>801</v>
      </c>
      <c r="F508" s="97">
        <v>176</v>
      </c>
      <c r="G508" s="97">
        <v>993</v>
      </c>
      <c r="H508" s="97">
        <v>509</v>
      </c>
      <c r="I508" s="98"/>
      <c r="J508" s="10">
        <f t="shared" si="21"/>
        <v>6.1259999999999994</v>
      </c>
      <c r="K508" s="11">
        <v>6</v>
      </c>
      <c r="L508" s="12">
        <f t="shared" si="22"/>
        <v>1.0209999999999999</v>
      </c>
      <c r="M508" s="13">
        <f t="shared" si="23"/>
        <v>1021</v>
      </c>
      <c r="N508" s="15"/>
      <c r="O508" s="5"/>
      <c r="P508" s="5"/>
    </row>
    <row r="509" spans="1:16" s="75" customFormat="1" ht="12">
      <c r="A509" s="40" t="s">
        <v>268</v>
      </c>
      <c r="B509" s="40" t="s">
        <v>1870</v>
      </c>
      <c r="C509" s="97">
        <v>514</v>
      </c>
      <c r="D509" s="97">
        <v>497</v>
      </c>
      <c r="E509" s="97">
        <v>395</v>
      </c>
      <c r="F509" s="97">
        <v>121</v>
      </c>
      <c r="G509" s="97">
        <v>505</v>
      </c>
      <c r="H509" s="97">
        <v>268</v>
      </c>
      <c r="I509" s="98"/>
      <c r="J509" s="10">
        <f t="shared" si="21"/>
        <v>3.0840000000000001</v>
      </c>
      <c r="K509" s="11">
        <v>6</v>
      </c>
      <c r="L509" s="12">
        <f t="shared" si="22"/>
        <v>0.51400000000000001</v>
      </c>
      <c r="M509" s="13">
        <f t="shared" si="23"/>
        <v>514</v>
      </c>
      <c r="N509" s="15"/>
      <c r="O509" s="5"/>
      <c r="P509" s="5"/>
    </row>
    <row r="510" spans="1:16" s="75" customFormat="1" ht="12">
      <c r="A510" s="40" t="s">
        <v>268</v>
      </c>
      <c r="B510" s="40" t="s">
        <v>1885</v>
      </c>
      <c r="C510" s="97">
        <v>370</v>
      </c>
      <c r="D510" s="97">
        <v>362</v>
      </c>
      <c r="E510" s="97">
        <v>293</v>
      </c>
      <c r="F510" s="97">
        <v>66</v>
      </c>
      <c r="G510" s="97">
        <v>364</v>
      </c>
      <c r="H510" s="97">
        <v>171</v>
      </c>
      <c r="I510" s="98"/>
      <c r="J510" s="10">
        <f t="shared" si="21"/>
        <v>2.2199999999999998</v>
      </c>
      <c r="K510" s="11">
        <v>6</v>
      </c>
      <c r="L510" s="12">
        <f t="shared" si="22"/>
        <v>0.37</v>
      </c>
      <c r="M510" s="13">
        <f t="shared" si="23"/>
        <v>370</v>
      </c>
      <c r="N510" s="15"/>
      <c r="O510" s="5"/>
      <c r="P510" s="5"/>
    </row>
    <row r="511" spans="1:16" s="75" customFormat="1" ht="12">
      <c r="A511" s="40" t="s">
        <v>268</v>
      </c>
      <c r="B511" s="40" t="s">
        <v>1906</v>
      </c>
      <c r="C511" s="97">
        <v>447</v>
      </c>
      <c r="D511" s="97">
        <v>434</v>
      </c>
      <c r="E511" s="97">
        <v>322</v>
      </c>
      <c r="F511" s="97">
        <v>81</v>
      </c>
      <c r="G511" s="97">
        <v>440</v>
      </c>
      <c r="H511" s="97">
        <v>202</v>
      </c>
      <c r="I511" s="98"/>
      <c r="J511" s="10">
        <f t="shared" si="21"/>
        <v>2.6819999999999999</v>
      </c>
      <c r="K511" s="11">
        <v>6</v>
      </c>
      <c r="L511" s="12">
        <f t="shared" si="22"/>
        <v>0.44700000000000001</v>
      </c>
      <c r="M511" s="13">
        <f t="shared" si="23"/>
        <v>447</v>
      </c>
      <c r="N511" s="15"/>
      <c r="O511" s="5"/>
      <c r="P511" s="5"/>
    </row>
    <row r="512" spans="1:16" s="75" customFormat="1" ht="12">
      <c r="A512" s="40" t="s">
        <v>268</v>
      </c>
      <c r="B512" s="40" t="s">
        <v>1908</v>
      </c>
      <c r="C512" s="97">
        <v>1439</v>
      </c>
      <c r="D512" s="97">
        <v>1421</v>
      </c>
      <c r="E512" s="97">
        <v>1196</v>
      </c>
      <c r="F512" s="97">
        <v>324</v>
      </c>
      <c r="G512" s="97">
        <v>1416</v>
      </c>
      <c r="H512" s="97">
        <v>820</v>
      </c>
      <c r="I512" s="98"/>
      <c r="J512" s="10">
        <f t="shared" si="21"/>
        <v>8.6340000000000003</v>
      </c>
      <c r="K512" s="11">
        <v>6</v>
      </c>
      <c r="L512" s="12">
        <f t="shared" si="22"/>
        <v>1.4390000000000001</v>
      </c>
      <c r="M512" s="13">
        <f t="shared" si="23"/>
        <v>1439</v>
      </c>
      <c r="N512" s="15"/>
      <c r="O512" s="5"/>
      <c r="P512" s="5"/>
    </row>
    <row r="513" spans="1:16" s="75" customFormat="1" ht="12">
      <c r="A513" s="40" t="s">
        <v>21</v>
      </c>
      <c r="B513" s="40" t="s">
        <v>111</v>
      </c>
      <c r="C513" s="97">
        <v>424</v>
      </c>
      <c r="D513" s="97">
        <v>418</v>
      </c>
      <c r="E513" s="97">
        <v>330</v>
      </c>
      <c r="F513" s="97">
        <v>119</v>
      </c>
      <c r="G513" s="97">
        <v>410</v>
      </c>
      <c r="H513" s="97">
        <v>265</v>
      </c>
      <c r="I513" s="98"/>
      <c r="J513" s="10">
        <f t="shared" si="21"/>
        <v>2.544</v>
      </c>
      <c r="K513" s="11">
        <v>6</v>
      </c>
      <c r="L513" s="12">
        <f t="shared" si="22"/>
        <v>0.42399999999999999</v>
      </c>
      <c r="M513" s="13">
        <f t="shared" si="23"/>
        <v>424</v>
      </c>
      <c r="N513" s="15"/>
      <c r="O513" s="5"/>
      <c r="P513" s="5"/>
    </row>
    <row r="514" spans="1:16" s="75" customFormat="1" ht="12">
      <c r="A514" s="40" t="s">
        <v>21</v>
      </c>
      <c r="B514" s="40" t="s">
        <v>187</v>
      </c>
      <c r="C514" s="97">
        <v>839</v>
      </c>
      <c r="D514" s="97">
        <v>827</v>
      </c>
      <c r="E514" s="97">
        <v>704</v>
      </c>
      <c r="F514" s="97">
        <v>273</v>
      </c>
      <c r="G514" s="97">
        <v>822</v>
      </c>
      <c r="H514" s="97">
        <v>568</v>
      </c>
      <c r="I514" s="98"/>
      <c r="J514" s="10">
        <f t="shared" si="21"/>
        <v>5.0339999999999998</v>
      </c>
      <c r="K514" s="11">
        <v>6</v>
      </c>
      <c r="L514" s="12">
        <f t="shared" si="22"/>
        <v>0.83899999999999997</v>
      </c>
      <c r="M514" s="13">
        <f t="shared" si="23"/>
        <v>839</v>
      </c>
      <c r="N514" s="15"/>
      <c r="O514" s="5"/>
      <c r="P514" s="5"/>
    </row>
    <row r="515" spans="1:16" s="75" customFormat="1" ht="12">
      <c r="A515" s="40" t="s">
        <v>21</v>
      </c>
      <c r="B515" s="40" t="s">
        <v>273</v>
      </c>
      <c r="C515" s="97">
        <v>343</v>
      </c>
      <c r="D515" s="97">
        <v>332</v>
      </c>
      <c r="E515" s="97">
        <v>250</v>
      </c>
      <c r="F515" s="97">
        <v>60</v>
      </c>
      <c r="G515" s="97">
        <v>332</v>
      </c>
      <c r="H515" s="97">
        <v>171</v>
      </c>
      <c r="I515" s="98"/>
      <c r="J515" s="10">
        <f t="shared" si="21"/>
        <v>2.0580000000000003</v>
      </c>
      <c r="K515" s="11">
        <v>6</v>
      </c>
      <c r="L515" s="12">
        <f t="shared" si="22"/>
        <v>0.34300000000000003</v>
      </c>
      <c r="M515" s="13">
        <f t="shared" si="23"/>
        <v>343</v>
      </c>
      <c r="N515" s="15"/>
      <c r="O515" s="5"/>
      <c r="P515" s="5"/>
    </row>
    <row r="516" spans="1:16" s="75" customFormat="1" ht="12">
      <c r="A516" s="40" t="s">
        <v>21</v>
      </c>
      <c r="B516" s="40" t="s">
        <v>306</v>
      </c>
      <c r="C516" s="97">
        <v>863</v>
      </c>
      <c r="D516" s="97">
        <v>852</v>
      </c>
      <c r="E516" s="97">
        <v>746</v>
      </c>
      <c r="F516" s="97">
        <v>297</v>
      </c>
      <c r="G516" s="97">
        <v>840</v>
      </c>
      <c r="H516" s="97">
        <v>603</v>
      </c>
      <c r="I516" s="98"/>
      <c r="J516" s="10">
        <f t="shared" si="21"/>
        <v>5.1779999999999999</v>
      </c>
      <c r="K516" s="11">
        <v>6</v>
      </c>
      <c r="L516" s="12">
        <f t="shared" si="22"/>
        <v>0.86299999999999999</v>
      </c>
      <c r="M516" s="13">
        <f t="shared" si="23"/>
        <v>863</v>
      </c>
      <c r="N516" s="15"/>
      <c r="O516" s="5"/>
      <c r="P516" s="5"/>
    </row>
    <row r="517" spans="1:16" s="75" customFormat="1" ht="12">
      <c r="A517" s="40" t="s">
        <v>21</v>
      </c>
      <c r="B517" s="40" t="s">
        <v>307</v>
      </c>
      <c r="C517" s="97">
        <v>316</v>
      </c>
      <c r="D517" s="97">
        <v>305</v>
      </c>
      <c r="E517" s="97">
        <v>244</v>
      </c>
      <c r="F517" s="97">
        <v>56</v>
      </c>
      <c r="G517" s="97">
        <v>298</v>
      </c>
      <c r="H517" s="97">
        <v>144</v>
      </c>
      <c r="I517" s="98"/>
      <c r="J517" s="10">
        <f t="shared" si="21"/>
        <v>1.8959999999999999</v>
      </c>
      <c r="K517" s="11">
        <v>6</v>
      </c>
      <c r="L517" s="12">
        <f t="shared" si="22"/>
        <v>0.316</v>
      </c>
      <c r="M517" s="13">
        <f t="shared" si="23"/>
        <v>316</v>
      </c>
      <c r="N517" s="15"/>
      <c r="O517" s="5"/>
      <c r="P517" s="5"/>
    </row>
    <row r="518" spans="1:16" s="75" customFormat="1" ht="12">
      <c r="A518" s="40" t="s">
        <v>21</v>
      </c>
      <c r="B518" s="40" t="s">
        <v>413</v>
      </c>
      <c r="C518" s="97">
        <v>447</v>
      </c>
      <c r="D518" s="97">
        <v>436</v>
      </c>
      <c r="E518" s="97">
        <v>322</v>
      </c>
      <c r="F518" s="97">
        <v>86</v>
      </c>
      <c r="G518" s="97">
        <v>431</v>
      </c>
      <c r="H518" s="97">
        <v>214</v>
      </c>
      <c r="I518" s="98"/>
      <c r="J518" s="10">
        <f t="shared" si="21"/>
        <v>2.6819999999999999</v>
      </c>
      <c r="K518" s="11">
        <v>6</v>
      </c>
      <c r="L518" s="12">
        <f t="shared" si="22"/>
        <v>0.44700000000000001</v>
      </c>
      <c r="M518" s="13">
        <f t="shared" si="23"/>
        <v>447</v>
      </c>
      <c r="N518" s="15"/>
      <c r="O518" s="5"/>
      <c r="P518" s="5"/>
    </row>
    <row r="519" spans="1:16" s="75" customFormat="1" ht="12">
      <c r="A519" s="40" t="s">
        <v>21</v>
      </c>
      <c r="B519" s="40" t="s">
        <v>458</v>
      </c>
      <c r="C519" s="97">
        <v>412</v>
      </c>
      <c r="D519" s="97">
        <v>411</v>
      </c>
      <c r="E519" s="97">
        <v>373</v>
      </c>
      <c r="F519" s="97">
        <v>133</v>
      </c>
      <c r="G519" s="97">
        <v>408</v>
      </c>
      <c r="H519" s="97">
        <v>267</v>
      </c>
      <c r="I519" s="98"/>
      <c r="J519" s="10">
        <f t="shared" si="21"/>
        <v>2.472</v>
      </c>
      <c r="K519" s="11">
        <v>6</v>
      </c>
      <c r="L519" s="12">
        <f t="shared" si="22"/>
        <v>0.41199999999999998</v>
      </c>
      <c r="M519" s="13">
        <f t="shared" si="23"/>
        <v>412</v>
      </c>
      <c r="N519" s="15"/>
      <c r="O519" s="5"/>
      <c r="P519" s="5"/>
    </row>
    <row r="520" spans="1:16" s="75" customFormat="1" ht="12">
      <c r="A520" s="40" t="s">
        <v>21</v>
      </c>
      <c r="B520" s="40" t="s">
        <v>1965</v>
      </c>
      <c r="C520" s="97">
        <v>436</v>
      </c>
      <c r="D520" s="97">
        <v>430</v>
      </c>
      <c r="E520" s="97">
        <v>310</v>
      </c>
      <c r="F520" s="97">
        <v>89</v>
      </c>
      <c r="G520" s="97">
        <v>411</v>
      </c>
      <c r="H520" s="97">
        <v>202</v>
      </c>
      <c r="I520" s="98"/>
      <c r="J520" s="10">
        <f t="shared" si="21"/>
        <v>2.6160000000000001</v>
      </c>
      <c r="K520" s="11">
        <v>6</v>
      </c>
      <c r="L520" s="12">
        <f t="shared" si="22"/>
        <v>0.436</v>
      </c>
      <c r="M520" s="13">
        <f t="shared" si="23"/>
        <v>436</v>
      </c>
      <c r="N520" s="15"/>
      <c r="O520" s="5"/>
      <c r="P520" s="5"/>
    </row>
    <row r="521" spans="1:16" s="75" customFormat="1" ht="12">
      <c r="A521" s="40" t="s">
        <v>21</v>
      </c>
      <c r="B521" s="40" t="s">
        <v>355</v>
      </c>
      <c r="C521" s="97">
        <v>539</v>
      </c>
      <c r="D521" s="97">
        <v>533</v>
      </c>
      <c r="E521" s="97">
        <v>441</v>
      </c>
      <c r="F521" s="97">
        <v>124</v>
      </c>
      <c r="G521" s="97">
        <v>534</v>
      </c>
      <c r="H521" s="97">
        <v>350</v>
      </c>
      <c r="I521" s="98"/>
      <c r="J521" s="10">
        <f t="shared" si="21"/>
        <v>3.234</v>
      </c>
      <c r="K521" s="11">
        <v>6</v>
      </c>
      <c r="L521" s="12">
        <f t="shared" si="22"/>
        <v>0.53900000000000003</v>
      </c>
      <c r="M521" s="13">
        <f t="shared" si="23"/>
        <v>539</v>
      </c>
      <c r="N521" s="15"/>
      <c r="O521" s="5"/>
      <c r="P521" s="5"/>
    </row>
    <row r="522" spans="1:16" s="75" customFormat="1" ht="12">
      <c r="A522" s="40" t="s">
        <v>21</v>
      </c>
      <c r="B522" s="40" t="s">
        <v>580</v>
      </c>
      <c r="C522" s="97">
        <v>510</v>
      </c>
      <c r="D522" s="97">
        <v>503</v>
      </c>
      <c r="E522" s="97">
        <v>384</v>
      </c>
      <c r="F522" s="97">
        <v>110</v>
      </c>
      <c r="G522" s="97">
        <v>506</v>
      </c>
      <c r="H522" s="97">
        <v>260</v>
      </c>
      <c r="I522" s="98"/>
      <c r="J522" s="10">
        <f t="shared" ref="J522:J549" si="25">+K522*L522</f>
        <v>3.06</v>
      </c>
      <c r="K522" s="11">
        <v>6</v>
      </c>
      <c r="L522" s="12">
        <f t="shared" ref="L522:L549" si="26">+M522/1000</f>
        <v>0.51</v>
      </c>
      <c r="M522" s="13">
        <f t="shared" ref="M522:M549" si="27">+C522</f>
        <v>510</v>
      </c>
      <c r="N522" s="15"/>
      <c r="O522" s="5"/>
      <c r="P522" s="5"/>
    </row>
    <row r="523" spans="1:16" s="75" customFormat="1" ht="12">
      <c r="A523" s="40" t="s">
        <v>21</v>
      </c>
      <c r="B523" s="40" t="s">
        <v>759</v>
      </c>
      <c r="C523" s="97">
        <v>427</v>
      </c>
      <c r="D523" s="97">
        <v>418</v>
      </c>
      <c r="E523" s="97">
        <v>305</v>
      </c>
      <c r="F523" s="97">
        <v>95</v>
      </c>
      <c r="G523" s="97">
        <v>413</v>
      </c>
      <c r="H523" s="97">
        <v>229</v>
      </c>
      <c r="I523" s="98"/>
      <c r="J523" s="10">
        <f t="shared" si="25"/>
        <v>2.5619999999999998</v>
      </c>
      <c r="K523" s="11">
        <v>6</v>
      </c>
      <c r="L523" s="12">
        <f t="shared" si="26"/>
        <v>0.42699999999999999</v>
      </c>
      <c r="M523" s="13">
        <f t="shared" si="27"/>
        <v>427</v>
      </c>
      <c r="N523" s="15"/>
      <c r="O523" s="5"/>
      <c r="P523" s="5"/>
    </row>
    <row r="524" spans="1:16" s="75" customFormat="1" ht="12">
      <c r="A524" s="40" t="s">
        <v>21</v>
      </c>
      <c r="B524" s="40" t="s">
        <v>829</v>
      </c>
      <c r="C524" s="97">
        <v>600</v>
      </c>
      <c r="D524" s="97">
        <v>591</v>
      </c>
      <c r="E524" s="97">
        <v>494</v>
      </c>
      <c r="F524" s="97">
        <v>166</v>
      </c>
      <c r="G524" s="97">
        <v>582</v>
      </c>
      <c r="H524" s="97">
        <v>331</v>
      </c>
      <c r="I524" s="98"/>
      <c r="J524" s="10">
        <f t="shared" si="25"/>
        <v>3.5999999999999996</v>
      </c>
      <c r="K524" s="11">
        <v>6</v>
      </c>
      <c r="L524" s="12">
        <f t="shared" si="26"/>
        <v>0.6</v>
      </c>
      <c r="M524" s="13">
        <f t="shared" si="27"/>
        <v>600</v>
      </c>
      <c r="N524" s="15"/>
      <c r="O524" s="5"/>
      <c r="P524" s="5"/>
    </row>
    <row r="525" spans="1:16" s="75" customFormat="1" ht="12">
      <c r="A525" s="40" t="s">
        <v>21</v>
      </c>
      <c r="B525" s="40" t="s">
        <v>834</v>
      </c>
      <c r="C525" s="97">
        <v>1057</v>
      </c>
      <c r="D525" s="97">
        <v>1042</v>
      </c>
      <c r="E525" s="97">
        <v>851</v>
      </c>
      <c r="F525" s="97">
        <v>242</v>
      </c>
      <c r="G525" s="97">
        <v>1014</v>
      </c>
      <c r="H525" s="97">
        <v>597</v>
      </c>
      <c r="I525" s="98"/>
      <c r="J525" s="10">
        <f t="shared" si="25"/>
        <v>6.3419999999999996</v>
      </c>
      <c r="K525" s="11">
        <v>6</v>
      </c>
      <c r="L525" s="12">
        <f t="shared" si="26"/>
        <v>1.0569999999999999</v>
      </c>
      <c r="M525" s="13">
        <f t="shared" si="27"/>
        <v>1057</v>
      </c>
      <c r="N525" s="15"/>
      <c r="O525" s="5"/>
      <c r="P525" s="5"/>
    </row>
    <row r="526" spans="1:16" s="75" customFormat="1" ht="12">
      <c r="A526" s="40" t="s">
        <v>21</v>
      </c>
      <c r="B526" s="40" t="s">
        <v>838</v>
      </c>
      <c r="C526" s="97">
        <v>755</v>
      </c>
      <c r="D526" s="97">
        <v>749</v>
      </c>
      <c r="E526" s="97">
        <v>630</v>
      </c>
      <c r="F526" s="97">
        <v>161</v>
      </c>
      <c r="G526" s="97">
        <v>734</v>
      </c>
      <c r="H526" s="97">
        <v>410</v>
      </c>
      <c r="I526" s="98"/>
      <c r="J526" s="10">
        <f t="shared" si="25"/>
        <v>4.53</v>
      </c>
      <c r="K526" s="11">
        <v>6</v>
      </c>
      <c r="L526" s="12">
        <f t="shared" si="26"/>
        <v>0.755</v>
      </c>
      <c r="M526" s="13">
        <f t="shared" si="27"/>
        <v>755</v>
      </c>
      <c r="N526" s="15"/>
      <c r="O526" s="5"/>
      <c r="P526" s="5"/>
    </row>
    <row r="527" spans="1:16" s="75" customFormat="1" ht="12">
      <c r="A527" s="40" t="s">
        <v>21</v>
      </c>
      <c r="B527" s="40" t="s">
        <v>1181</v>
      </c>
      <c r="C527" s="97">
        <v>703</v>
      </c>
      <c r="D527" s="97">
        <v>693</v>
      </c>
      <c r="E527" s="97">
        <v>569</v>
      </c>
      <c r="F527" s="97">
        <v>159</v>
      </c>
      <c r="G527" s="97">
        <v>691</v>
      </c>
      <c r="H527" s="97">
        <v>397</v>
      </c>
      <c r="I527" s="98"/>
      <c r="J527" s="10">
        <f t="shared" si="25"/>
        <v>4.218</v>
      </c>
      <c r="K527" s="11">
        <v>6</v>
      </c>
      <c r="L527" s="12">
        <f t="shared" si="26"/>
        <v>0.70299999999999996</v>
      </c>
      <c r="M527" s="13">
        <f t="shared" si="27"/>
        <v>703</v>
      </c>
      <c r="N527" s="15"/>
      <c r="O527" s="5"/>
      <c r="P527" s="5"/>
    </row>
    <row r="528" spans="1:16" s="75" customFormat="1" ht="12">
      <c r="A528" s="40" t="s">
        <v>21</v>
      </c>
      <c r="B528" s="40" t="s">
        <v>1205</v>
      </c>
      <c r="C528" s="97">
        <v>467</v>
      </c>
      <c r="D528" s="97">
        <v>457</v>
      </c>
      <c r="E528" s="97">
        <v>333</v>
      </c>
      <c r="F528" s="97">
        <v>56</v>
      </c>
      <c r="G528" s="97">
        <v>457</v>
      </c>
      <c r="H528" s="97">
        <v>186</v>
      </c>
      <c r="I528" s="98"/>
      <c r="J528" s="10">
        <f t="shared" si="25"/>
        <v>2.802</v>
      </c>
      <c r="K528" s="11">
        <v>6</v>
      </c>
      <c r="L528" s="12">
        <f t="shared" si="26"/>
        <v>0.46700000000000003</v>
      </c>
      <c r="M528" s="13">
        <f t="shared" si="27"/>
        <v>467</v>
      </c>
      <c r="N528" s="15"/>
      <c r="O528" s="5"/>
      <c r="P528" s="5"/>
    </row>
    <row r="529" spans="1:16" s="75" customFormat="1" ht="12">
      <c r="A529" s="40" t="s">
        <v>21</v>
      </c>
      <c r="B529" s="40" t="s">
        <v>1966</v>
      </c>
      <c r="C529" s="97">
        <v>311</v>
      </c>
      <c r="D529" s="97">
        <v>307</v>
      </c>
      <c r="E529" s="97">
        <v>241</v>
      </c>
      <c r="F529" s="97">
        <v>65</v>
      </c>
      <c r="G529" s="97">
        <v>298</v>
      </c>
      <c r="H529" s="97">
        <v>153</v>
      </c>
      <c r="I529" s="98"/>
      <c r="J529" s="10">
        <f t="shared" si="25"/>
        <v>1.8660000000000001</v>
      </c>
      <c r="K529" s="11">
        <v>6</v>
      </c>
      <c r="L529" s="12">
        <f t="shared" si="26"/>
        <v>0.311</v>
      </c>
      <c r="M529" s="13">
        <f t="shared" si="27"/>
        <v>311</v>
      </c>
      <c r="N529" s="15"/>
      <c r="O529" s="5"/>
      <c r="P529" s="5"/>
    </row>
    <row r="530" spans="1:16" s="75" customFormat="1" ht="12">
      <c r="A530" s="40" t="s">
        <v>21</v>
      </c>
      <c r="B530" s="40" t="s">
        <v>1336</v>
      </c>
      <c r="C530" s="97">
        <v>499</v>
      </c>
      <c r="D530" s="97">
        <v>479</v>
      </c>
      <c r="E530" s="97">
        <v>404</v>
      </c>
      <c r="F530" s="97">
        <v>112</v>
      </c>
      <c r="G530" s="97">
        <v>491</v>
      </c>
      <c r="H530" s="97">
        <v>260</v>
      </c>
      <c r="I530" s="98"/>
      <c r="J530" s="10">
        <f t="shared" si="25"/>
        <v>2.9939999999999998</v>
      </c>
      <c r="K530" s="11">
        <v>6</v>
      </c>
      <c r="L530" s="12">
        <f t="shared" si="26"/>
        <v>0.499</v>
      </c>
      <c r="M530" s="13">
        <f t="shared" si="27"/>
        <v>499</v>
      </c>
      <c r="N530" s="15"/>
      <c r="O530" s="5"/>
      <c r="P530" s="5"/>
    </row>
    <row r="531" spans="1:16" s="75" customFormat="1" ht="12">
      <c r="A531" s="40" t="s">
        <v>21</v>
      </c>
      <c r="B531" s="40" t="s">
        <v>1451</v>
      </c>
      <c r="C531" s="97">
        <v>427</v>
      </c>
      <c r="D531" s="97">
        <v>418</v>
      </c>
      <c r="E531" s="97">
        <v>326</v>
      </c>
      <c r="F531" s="97">
        <v>56</v>
      </c>
      <c r="G531" s="97">
        <v>422</v>
      </c>
      <c r="H531" s="97">
        <v>158</v>
      </c>
      <c r="I531" s="98"/>
      <c r="J531" s="10">
        <f t="shared" si="25"/>
        <v>2.5619999999999998</v>
      </c>
      <c r="K531" s="11">
        <v>6</v>
      </c>
      <c r="L531" s="12">
        <f t="shared" si="26"/>
        <v>0.42699999999999999</v>
      </c>
      <c r="M531" s="13">
        <f t="shared" si="27"/>
        <v>427</v>
      </c>
      <c r="N531" s="15"/>
      <c r="O531" s="116"/>
      <c r="P531" s="5"/>
    </row>
    <row r="532" spans="1:16" s="75" customFormat="1" ht="12">
      <c r="A532" s="40" t="s">
        <v>476</v>
      </c>
      <c r="B532" s="40" t="s">
        <v>1790</v>
      </c>
      <c r="C532" s="97">
        <v>778</v>
      </c>
      <c r="D532" s="97">
        <v>760</v>
      </c>
      <c r="E532" s="97">
        <v>604</v>
      </c>
      <c r="F532" s="97">
        <v>187</v>
      </c>
      <c r="G532" s="97">
        <v>763</v>
      </c>
      <c r="H532" s="97">
        <v>373</v>
      </c>
      <c r="I532" s="98"/>
      <c r="J532" s="10">
        <f t="shared" si="25"/>
        <v>4.6680000000000001</v>
      </c>
      <c r="K532" s="11">
        <v>6</v>
      </c>
      <c r="L532" s="12">
        <f t="shared" si="26"/>
        <v>0.77800000000000002</v>
      </c>
      <c r="M532" s="13">
        <f t="shared" si="27"/>
        <v>778</v>
      </c>
      <c r="N532" s="15"/>
      <c r="O532" s="5"/>
      <c r="P532" s="5"/>
    </row>
    <row r="533" spans="1:16" s="75" customFormat="1" ht="12">
      <c r="A533" s="40" t="s">
        <v>123</v>
      </c>
      <c r="B533" s="40" t="s">
        <v>124</v>
      </c>
      <c r="C533" s="97">
        <v>438</v>
      </c>
      <c r="D533" s="97">
        <v>426</v>
      </c>
      <c r="E533" s="97">
        <v>340</v>
      </c>
      <c r="F533" s="97">
        <v>80</v>
      </c>
      <c r="G533" s="97">
        <v>427</v>
      </c>
      <c r="H533" s="97">
        <v>227</v>
      </c>
      <c r="I533" s="98"/>
      <c r="J533" s="10">
        <f t="shared" si="25"/>
        <v>2.6280000000000001</v>
      </c>
      <c r="K533" s="11">
        <v>6</v>
      </c>
      <c r="L533" s="12">
        <f t="shared" si="26"/>
        <v>0.438</v>
      </c>
      <c r="M533" s="13">
        <f t="shared" si="27"/>
        <v>438</v>
      </c>
      <c r="N533" s="15"/>
      <c r="O533" s="5"/>
      <c r="P533" s="5"/>
    </row>
    <row r="534" spans="1:16" s="75" customFormat="1" ht="12">
      <c r="A534" s="40" t="s">
        <v>123</v>
      </c>
      <c r="B534" s="40" t="s">
        <v>536</v>
      </c>
      <c r="C534" s="97">
        <v>378</v>
      </c>
      <c r="D534" s="97">
        <v>356</v>
      </c>
      <c r="E534" s="97">
        <v>270</v>
      </c>
      <c r="F534" s="97">
        <v>66</v>
      </c>
      <c r="G534" s="97">
        <v>374</v>
      </c>
      <c r="H534" s="97">
        <v>167</v>
      </c>
      <c r="I534" s="98"/>
      <c r="J534" s="10">
        <f t="shared" si="25"/>
        <v>2.2679999999999998</v>
      </c>
      <c r="K534" s="11">
        <v>6</v>
      </c>
      <c r="L534" s="12">
        <f t="shared" si="26"/>
        <v>0.378</v>
      </c>
      <c r="M534" s="13">
        <f t="shared" si="27"/>
        <v>378</v>
      </c>
      <c r="N534" s="15"/>
      <c r="O534" s="5"/>
      <c r="P534" s="5"/>
    </row>
    <row r="535" spans="1:16" s="75" customFormat="1" ht="12">
      <c r="A535" s="40" t="s">
        <v>123</v>
      </c>
      <c r="B535" s="40" t="s">
        <v>582</v>
      </c>
      <c r="C535" s="97">
        <v>396</v>
      </c>
      <c r="D535" s="97">
        <v>391</v>
      </c>
      <c r="E535" s="97">
        <v>320</v>
      </c>
      <c r="F535" s="97">
        <v>118</v>
      </c>
      <c r="G535" s="97">
        <v>385</v>
      </c>
      <c r="H535" s="97">
        <v>237</v>
      </c>
      <c r="I535" s="98"/>
      <c r="J535" s="10">
        <f t="shared" si="25"/>
        <v>2.3760000000000003</v>
      </c>
      <c r="K535" s="11">
        <v>6</v>
      </c>
      <c r="L535" s="12">
        <f t="shared" si="26"/>
        <v>0.39600000000000002</v>
      </c>
      <c r="M535" s="13">
        <f t="shared" si="27"/>
        <v>396</v>
      </c>
      <c r="N535" s="15"/>
      <c r="O535" s="5"/>
      <c r="P535" s="5"/>
    </row>
    <row r="536" spans="1:16" s="75" customFormat="1" ht="12">
      <c r="A536" s="40" t="s">
        <v>123</v>
      </c>
      <c r="B536" s="40" t="s">
        <v>682</v>
      </c>
      <c r="C536" s="97">
        <v>309</v>
      </c>
      <c r="D536" s="97">
        <v>299</v>
      </c>
      <c r="E536" s="97">
        <v>237</v>
      </c>
      <c r="F536" s="97">
        <v>65</v>
      </c>
      <c r="G536" s="97">
        <v>306</v>
      </c>
      <c r="H536" s="97">
        <v>149</v>
      </c>
      <c r="I536" s="98"/>
      <c r="J536" s="10">
        <f t="shared" si="25"/>
        <v>1.8540000000000001</v>
      </c>
      <c r="K536" s="11">
        <v>6</v>
      </c>
      <c r="L536" s="12">
        <f t="shared" si="26"/>
        <v>0.309</v>
      </c>
      <c r="M536" s="13">
        <f t="shared" si="27"/>
        <v>309</v>
      </c>
      <c r="N536" s="15"/>
      <c r="O536" s="5"/>
      <c r="P536" s="5"/>
    </row>
    <row r="537" spans="1:16" s="75" customFormat="1" ht="12">
      <c r="A537" s="40" t="s">
        <v>123</v>
      </c>
      <c r="B537" s="40" t="s">
        <v>690</v>
      </c>
      <c r="C537" s="97">
        <v>524</v>
      </c>
      <c r="D537" s="97">
        <v>510</v>
      </c>
      <c r="E537" s="97">
        <v>461</v>
      </c>
      <c r="F537" s="97">
        <v>212</v>
      </c>
      <c r="G537" s="97">
        <v>519</v>
      </c>
      <c r="H537" s="97">
        <v>392</v>
      </c>
      <c r="I537" s="98"/>
      <c r="J537" s="10">
        <f t="shared" si="25"/>
        <v>3.1440000000000001</v>
      </c>
      <c r="K537" s="11">
        <v>6</v>
      </c>
      <c r="L537" s="12">
        <f t="shared" si="26"/>
        <v>0.52400000000000002</v>
      </c>
      <c r="M537" s="13">
        <f t="shared" si="27"/>
        <v>524</v>
      </c>
      <c r="N537" s="15"/>
      <c r="O537" s="5"/>
      <c r="P537" s="5"/>
    </row>
    <row r="538" spans="1:16" s="75" customFormat="1" ht="12">
      <c r="A538" s="40" t="s">
        <v>123</v>
      </c>
      <c r="B538" s="40" t="s">
        <v>696</v>
      </c>
      <c r="C538" s="97">
        <v>394</v>
      </c>
      <c r="D538" s="97">
        <v>383</v>
      </c>
      <c r="E538" s="97">
        <v>326</v>
      </c>
      <c r="F538" s="97">
        <v>54</v>
      </c>
      <c r="G538" s="97">
        <v>386</v>
      </c>
      <c r="H538" s="97">
        <v>134</v>
      </c>
      <c r="I538" s="98"/>
      <c r="J538" s="10">
        <f t="shared" si="25"/>
        <v>2.3639999999999999</v>
      </c>
      <c r="K538" s="11">
        <v>6</v>
      </c>
      <c r="L538" s="12">
        <f t="shared" si="26"/>
        <v>0.39400000000000002</v>
      </c>
      <c r="M538" s="13">
        <f t="shared" si="27"/>
        <v>394</v>
      </c>
      <c r="N538" s="15"/>
      <c r="O538" s="5"/>
      <c r="P538" s="5"/>
    </row>
    <row r="539" spans="1:16" s="75" customFormat="1" ht="12">
      <c r="A539" s="40" t="s">
        <v>123</v>
      </c>
      <c r="B539" s="40" t="s">
        <v>697</v>
      </c>
      <c r="C539" s="97">
        <v>632</v>
      </c>
      <c r="D539" s="97">
        <v>609</v>
      </c>
      <c r="E539" s="97">
        <v>485</v>
      </c>
      <c r="F539" s="97">
        <v>164</v>
      </c>
      <c r="G539" s="97">
        <v>611</v>
      </c>
      <c r="H539" s="97">
        <v>324</v>
      </c>
      <c r="I539" s="98"/>
      <c r="J539" s="10">
        <f t="shared" si="25"/>
        <v>3.7919999999999998</v>
      </c>
      <c r="K539" s="11">
        <v>6</v>
      </c>
      <c r="L539" s="12">
        <f t="shared" si="26"/>
        <v>0.63200000000000001</v>
      </c>
      <c r="M539" s="13">
        <f t="shared" si="27"/>
        <v>632</v>
      </c>
      <c r="N539" s="15"/>
      <c r="O539" s="5"/>
      <c r="P539" s="5"/>
    </row>
    <row r="540" spans="1:16" s="75" customFormat="1" ht="12">
      <c r="A540" s="40" t="s">
        <v>123</v>
      </c>
      <c r="B540" s="40" t="s">
        <v>1105</v>
      </c>
      <c r="C540" s="97">
        <v>570</v>
      </c>
      <c r="D540" s="97">
        <v>565</v>
      </c>
      <c r="E540" s="97">
        <v>459</v>
      </c>
      <c r="F540" s="97">
        <v>143</v>
      </c>
      <c r="G540" s="97">
        <v>553</v>
      </c>
      <c r="H540" s="97">
        <v>315</v>
      </c>
      <c r="I540" s="98"/>
      <c r="J540" s="10">
        <f t="shared" si="25"/>
        <v>3.42</v>
      </c>
      <c r="K540" s="11">
        <v>6</v>
      </c>
      <c r="L540" s="12">
        <f t="shared" si="26"/>
        <v>0.56999999999999995</v>
      </c>
      <c r="M540" s="13">
        <f t="shared" si="27"/>
        <v>570</v>
      </c>
      <c r="N540" s="15"/>
      <c r="O540" s="5"/>
      <c r="P540" s="5"/>
    </row>
    <row r="541" spans="1:16" s="75" customFormat="1" ht="12">
      <c r="A541" s="40" t="s">
        <v>123</v>
      </c>
      <c r="B541" s="40" t="s">
        <v>1154</v>
      </c>
      <c r="C541" s="97">
        <v>427</v>
      </c>
      <c r="D541" s="97">
        <v>420</v>
      </c>
      <c r="E541" s="97">
        <v>342</v>
      </c>
      <c r="F541" s="97">
        <v>120</v>
      </c>
      <c r="G541" s="97">
        <v>419</v>
      </c>
      <c r="H541" s="97">
        <v>249</v>
      </c>
      <c r="I541" s="98"/>
      <c r="J541" s="10">
        <f t="shared" si="25"/>
        <v>2.5619999999999998</v>
      </c>
      <c r="K541" s="11">
        <v>6</v>
      </c>
      <c r="L541" s="12">
        <f t="shared" si="26"/>
        <v>0.42699999999999999</v>
      </c>
      <c r="M541" s="13">
        <f t="shared" si="27"/>
        <v>427</v>
      </c>
      <c r="N541" s="15"/>
      <c r="O541" s="5"/>
      <c r="P541" s="5"/>
    </row>
    <row r="542" spans="1:16" s="75" customFormat="1" ht="12">
      <c r="A542" s="40" t="s">
        <v>123</v>
      </c>
      <c r="B542" s="40" t="s">
        <v>1161</v>
      </c>
      <c r="C542" s="97">
        <v>686</v>
      </c>
      <c r="D542" s="97">
        <v>671</v>
      </c>
      <c r="E542" s="97">
        <v>571</v>
      </c>
      <c r="F542" s="97">
        <v>233</v>
      </c>
      <c r="G542" s="97">
        <v>662</v>
      </c>
      <c r="H542" s="97">
        <v>443</v>
      </c>
      <c r="I542" s="98"/>
      <c r="J542" s="10">
        <f t="shared" si="25"/>
        <v>4.1160000000000005</v>
      </c>
      <c r="K542" s="11">
        <v>6</v>
      </c>
      <c r="L542" s="12">
        <f t="shared" si="26"/>
        <v>0.68600000000000005</v>
      </c>
      <c r="M542" s="13">
        <f t="shared" si="27"/>
        <v>686</v>
      </c>
      <c r="N542" s="15"/>
      <c r="O542" s="5"/>
      <c r="P542" s="5"/>
    </row>
    <row r="543" spans="1:16" s="75" customFormat="1" ht="12">
      <c r="A543" s="40" t="s">
        <v>123</v>
      </c>
      <c r="B543" s="40" t="s">
        <v>1237</v>
      </c>
      <c r="C543" s="97">
        <v>518</v>
      </c>
      <c r="D543" s="97">
        <v>498</v>
      </c>
      <c r="E543" s="97">
        <v>424</v>
      </c>
      <c r="F543" s="97">
        <v>174</v>
      </c>
      <c r="G543" s="97">
        <v>511</v>
      </c>
      <c r="H543" s="97">
        <v>336</v>
      </c>
      <c r="I543" s="98"/>
      <c r="J543" s="10">
        <f t="shared" si="25"/>
        <v>3.1080000000000001</v>
      </c>
      <c r="K543" s="11">
        <v>6</v>
      </c>
      <c r="L543" s="12">
        <f t="shared" si="26"/>
        <v>0.51800000000000002</v>
      </c>
      <c r="M543" s="13">
        <f t="shared" si="27"/>
        <v>518</v>
      </c>
      <c r="N543" s="15"/>
      <c r="O543" s="5"/>
      <c r="P543" s="5"/>
    </row>
    <row r="544" spans="1:16" s="75" customFormat="1" ht="12">
      <c r="A544" s="40" t="s">
        <v>123</v>
      </c>
      <c r="B544" s="40" t="s">
        <v>1515</v>
      </c>
      <c r="C544" s="97">
        <v>636</v>
      </c>
      <c r="D544" s="97">
        <v>623</v>
      </c>
      <c r="E544" s="97">
        <v>531</v>
      </c>
      <c r="F544" s="97">
        <v>265</v>
      </c>
      <c r="G544" s="97">
        <v>629</v>
      </c>
      <c r="H544" s="97">
        <v>499</v>
      </c>
      <c r="I544" s="98"/>
      <c r="J544" s="10">
        <f t="shared" si="25"/>
        <v>3.8159999999999998</v>
      </c>
      <c r="K544" s="11">
        <v>6</v>
      </c>
      <c r="L544" s="12">
        <f t="shared" si="26"/>
        <v>0.63600000000000001</v>
      </c>
      <c r="M544" s="13">
        <f t="shared" si="27"/>
        <v>636</v>
      </c>
      <c r="N544" s="15"/>
      <c r="O544" s="5"/>
      <c r="P544" s="5"/>
    </row>
    <row r="545" spans="1:16" s="75" customFormat="1" ht="12">
      <c r="A545" s="40" t="s">
        <v>123</v>
      </c>
      <c r="B545" s="40" t="s">
        <v>1644</v>
      </c>
      <c r="C545" s="97">
        <v>308</v>
      </c>
      <c r="D545" s="97">
        <v>306</v>
      </c>
      <c r="E545" s="97">
        <v>266</v>
      </c>
      <c r="F545" s="97">
        <v>102</v>
      </c>
      <c r="G545" s="97">
        <v>304</v>
      </c>
      <c r="H545" s="97">
        <v>182</v>
      </c>
      <c r="I545" s="98"/>
      <c r="J545" s="10">
        <f t="shared" si="25"/>
        <v>1.8479999999999999</v>
      </c>
      <c r="K545" s="11">
        <v>6</v>
      </c>
      <c r="L545" s="12">
        <f t="shared" si="26"/>
        <v>0.308</v>
      </c>
      <c r="M545" s="13">
        <f t="shared" si="27"/>
        <v>308</v>
      </c>
      <c r="N545" s="15"/>
      <c r="O545" s="5"/>
      <c r="P545" s="5"/>
    </row>
    <row r="546" spans="1:16" s="75" customFormat="1" ht="12">
      <c r="A546" s="40" t="s">
        <v>123</v>
      </c>
      <c r="B546" s="40" t="s">
        <v>1765</v>
      </c>
      <c r="C546" s="97">
        <v>768</v>
      </c>
      <c r="D546" s="97">
        <v>737</v>
      </c>
      <c r="E546" s="97">
        <v>588</v>
      </c>
      <c r="F546" s="97">
        <v>162</v>
      </c>
      <c r="G546" s="97">
        <v>757</v>
      </c>
      <c r="H546" s="97">
        <v>363</v>
      </c>
      <c r="I546" s="98"/>
      <c r="J546" s="10">
        <f t="shared" si="25"/>
        <v>4.6080000000000005</v>
      </c>
      <c r="K546" s="11">
        <v>6</v>
      </c>
      <c r="L546" s="12">
        <f t="shared" si="26"/>
        <v>0.76800000000000002</v>
      </c>
      <c r="M546" s="13">
        <f t="shared" si="27"/>
        <v>768</v>
      </c>
      <c r="N546" s="15"/>
      <c r="O546" s="5"/>
      <c r="P546" s="5"/>
    </row>
    <row r="547" spans="1:16" s="75" customFormat="1" ht="12">
      <c r="A547" s="40" t="s">
        <v>123</v>
      </c>
      <c r="B547" s="40" t="s">
        <v>1771</v>
      </c>
      <c r="C547" s="97">
        <v>388</v>
      </c>
      <c r="D547" s="97">
        <v>372</v>
      </c>
      <c r="E547" s="97">
        <v>288</v>
      </c>
      <c r="F547" s="97">
        <v>71</v>
      </c>
      <c r="G547" s="97">
        <v>380</v>
      </c>
      <c r="H547" s="97">
        <v>185</v>
      </c>
      <c r="I547" s="98"/>
      <c r="J547" s="10">
        <f t="shared" si="25"/>
        <v>2.3280000000000003</v>
      </c>
      <c r="K547" s="11">
        <v>6</v>
      </c>
      <c r="L547" s="12">
        <f t="shared" si="26"/>
        <v>0.38800000000000001</v>
      </c>
      <c r="M547" s="13">
        <f t="shared" si="27"/>
        <v>388</v>
      </c>
      <c r="N547" s="15"/>
      <c r="O547" s="5"/>
      <c r="P547" s="5"/>
    </row>
    <row r="548" spans="1:16" s="75" customFormat="1" ht="12">
      <c r="A548" s="40" t="s">
        <v>123</v>
      </c>
      <c r="B548" s="40" t="s">
        <v>1834</v>
      </c>
      <c r="C548" s="97">
        <v>1011</v>
      </c>
      <c r="D548" s="97">
        <v>985</v>
      </c>
      <c r="E548" s="97">
        <v>807</v>
      </c>
      <c r="F548" s="97">
        <v>271</v>
      </c>
      <c r="G548" s="97">
        <v>988</v>
      </c>
      <c r="H548" s="97">
        <v>597</v>
      </c>
      <c r="I548" s="98"/>
      <c r="J548" s="10">
        <f t="shared" si="25"/>
        <v>6.0659999999999989</v>
      </c>
      <c r="K548" s="11">
        <v>6</v>
      </c>
      <c r="L548" s="12">
        <f t="shared" si="26"/>
        <v>1.0109999999999999</v>
      </c>
      <c r="M548" s="13">
        <f t="shared" si="27"/>
        <v>1011</v>
      </c>
      <c r="N548" s="15"/>
      <c r="O548" s="5"/>
      <c r="P548" s="5"/>
    </row>
    <row r="549" spans="1:16" s="75" customFormat="1" ht="12">
      <c r="A549" s="40" t="s">
        <v>123</v>
      </c>
      <c r="B549" s="40" t="s">
        <v>1918</v>
      </c>
      <c r="C549" s="97">
        <v>452</v>
      </c>
      <c r="D549" s="97">
        <v>436</v>
      </c>
      <c r="E549" s="97">
        <v>339</v>
      </c>
      <c r="F549" s="97">
        <v>104</v>
      </c>
      <c r="G549" s="97">
        <v>445</v>
      </c>
      <c r="H549" s="97">
        <v>256</v>
      </c>
      <c r="I549" s="98"/>
      <c r="J549" s="10">
        <f t="shared" si="25"/>
        <v>2.7120000000000002</v>
      </c>
      <c r="K549" s="11">
        <v>6</v>
      </c>
      <c r="L549" s="12">
        <f t="shared" si="26"/>
        <v>0.45200000000000001</v>
      </c>
      <c r="M549" s="13">
        <f t="shared" si="27"/>
        <v>452</v>
      </c>
      <c r="N549" s="15"/>
      <c r="O549" s="5"/>
      <c r="P549" s="5"/>
    </row>
  </sheetData>
  <sortState xmlns:xlrd2="http://schemas.microsoft.com/office/spreadsheetml/2017/richdata2" ref="A2:P1299">
    <sortCondition ref="A2:A1299"/>
    <sortCondition ref="B2:B1299"/>
    <sortCondition ref="J2:J12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2"/>
  <sheetViews>
    <sheetView workbookViewId="0"/>
  </sheetViews>
  <sheetFormatPr baseColWidth="10" defaultRowHeight="15"/>
  <cols>
    <col min="2" max="2" width="32.140625" customWidth="1"/>
    <col min="14" max="14" width="109.42578125" style="45" bestFit="1" customWidth="1"/>
  </cols>
  <sheetData>
    <row r="1" spans="1:16" s="5" customFormat="1" ht="12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6"/>
      <c r="J1" s="7" t="s">
        <v>8</v>
      </c>
      <c r="K1" s="7" t="s">
        <v>9</v>
      </c>
      <c r="L1" s="7" t="s">
        <v>10</v>
      </c>
      <c r="M1" s="7" t="s">
        <v>11</v>
      </c>
      <c r="N1" s="44"/>
    </row>
    <row r="2" spans="1:16">
      <c r="A2" s="89" t="s">
        <v>1968</v>
      </c>
      <c r="B2" s="89" t="s">
        <v>700</v>
      </c>
      <c r="C2" s="91">
        <v>863</v>
      </c>
      <c r="D2" s="91">
        <v>841</v>
      </c>
      <c r="E2" s="91">
        <v>701</v>
      </c>
      <c r="F2" s="91">
        <v>248</v>
      </c>
      <c r="G2" s="91">
        <v>843</v>
      </c>
      <c r="H2" s="91">
        <v>521</v>
      </c>
      <c r="I2" s="91"/>
      <c r="J2" s="83">
        <v>3.0539999999999998</v>
      </c>
      <c r="K2" s="83">
        <v>6</v>
      </c>
      <c r="L2" s="82">
        <v>0.50900000000000001</v>
      </c>
      <c r="M2" s="81">
        <v>509</v>
      </c>
      <c r="N2" s="52"/>
      <c r="O2" s="75"/>
      <c r="P2" s="75"/>
    </row>
    <row r="3" spans="1:16" s="5" customFormat="1" ht="12">
      <c r="A3" s="40" t="s">
        <v>65</v>
      </c>
      <c r="B3" s="40" t="s">
        <v>99</v>
      </c>
      <c r="C3" s="97">
        <v>1866</v>
      </c>
      <c r="D3" s="97">
        <v>1815</v>
      </c>
      <c r="E3" s="97">
        <v>1523</v>
      </c>
      <c r="F3" s="97">
        <v>393</v>
      </c>
      <c r="G3" s="97">
        <v>1800</v>
      </c>
      <c r="H3" s="97">
        <v>991</v>
      </c>
      <c r="I3" s="98"/>
      <c r="J3" s="10">
        <f t="shared" ref="J3:J34" si="0">+K3*L3</f>
        <v>11.196000000000002</v>
      </c>
      <c r="K3" s="11">
        <v>6</v>
      </c>
      <c r="L3" s="12">
        <f t="shared" ref="L3:L34" si="1">+M3/1000</f>
        <v>1.8660000000000001</v>
      </c>
      <c r="M3" s="13">
        <f t="shared" ref="M3:M34" si="2">+C3</f>
        <v>1866</v>
      </c>
      <c r="N3" s="15"/>
    </row>
    <row r="4" spans="1:16" s="2" customFormat="1" ht="12">
      <c r="A4" s="40" t="s">
        <v>65</v>
      </c>
      <c r="B4" s="40" t="s">
        <v>139</v>
      </c>
      <c r="C4" s="97">
        <v>881</v>
      </c>
      <c r="D4" s="97">
        <v>859</v>
      </c>
      <c r="E4" s="97">
        <v>725</v>
      </c>
      <c r="F4" s="97">
        <v>216</v>
      </c>
      <c r="G4" s="97">
        <v>868</v>
      </c>
      <c r="H4" s="97">
        <v>477</v>
      </c>
      <c r="I4" s="98"/>
      <c r="J4" s="10">
        <f t="shared" si="0"/>
        <v>5.2859999999999996</v>
      </c>
      <c r="K4" s="11">
        <v>6</v>
      </c>
      <c r="L4" s="12">
        <f t="shared" si="1"/>
        <v>0.88100000000000001</v>
      </c>
      <c r="M4" s="13">
        <f t="shared" si="2"/>
        <v>881</v>
      </c>
      <c r="N4" s="15"/>
      <c r="O4" s="5"/>
      <c r="P4" s="5"/>
    </row>
    <row r="5" spans="1:16" s="5" customFormat="1" ht="12">
      <c r="A5" s="40" t="s">
        <v>65</v>
      </c>
      <c r="B5" s="40" t="s">
        <v>229</v>
      </c>
      <c r="C5" s="97">
        <v>514</v>
      </c>
      <c r="D5" s="97">
        <v>506</v>
      </c>
      <c r="E5" s="97">
        <v>416</v>
      </c>
      <c r="F5" s="97">
        <v>91</v>
      </c>
      <c r="G5" s="97">
        <v>507</v>
      </c>
      <c r="H5" s="97">
        <v>306</v>
      </c>
      <c r="I5" s="98"/>
      <c r="J5" s="10">
        <f t="shared" si="0"/>
        <v>3.0840000000000001</v>
      </c>
      <c r="K5" s="11">
        <v>6</v>
      </c>
      <c r="L5" s="12">
        <f t="shared" si="1"/>
        <v>0.51400000000000001</v>
      </c>
      <c r="M5" s="13">
        <f t="shared" si="2"/>
        <v>514</v>
      </c>
      <c r="N5" s="15"/>
    </row>
    <row r="6" spans="1:16" s="5" customFormat="1" ht="12">
      <c r="A6" s="40" t="s">
        <v>65</v>
      </c>
      <c r="B6" s="40" t="s">
        <v>284</v>
      </c>
      <c r="C6" s="97">
        <v>354</v>
      </c>
      <c r="D6" s="97">
        <v>345</v>
      </c>
      <c r="E6" s="97">
        <v>277</v>
      </c>
      <c r="F6" s="97">
        <v>86</v>
      </c>
      <c r="G6" s="97">
        <v>341</v>
      </c>
      <c r="H6" s="97">
        <v>189</v>
      </c>
      <c r="I6" s="98"/>
      <c r="J6" s="10">
        <f t="shared" si="0"/>
        <v>2.1239999999999997</v>
      </c>
      <c r="K6" s="11">
        <v>6</v>
      </c>
      <c r="L6" s="12">
        <f t="shared" si="1"/>
        <v>0.35399999999999998</v>
      </c>
      <c r="M6" s="13">
        <f t="shared" si="2"/>
        <v>354</v>
      </c>
      <c r="N6" s="15"/>
    </row>
    <row r="7" spans="1:16" s="5" customFormat="1" ht="12">
      <c r="A7" s="40" t="s">
        <v>65</v>
      </c>
      <c r="B7" s="40" t="s">
        <v>450</v>
      </c>
      <c r="C7" s="97">
        <v>1145</v>
      </c>
      <c r="D7" s="97">
        <v>1104</v>
      </c>
      <c r="E7" s="97">
        <v>909</v>
      </c>
      <c r="F7" s="97">
        <v>241</v>
      </c>
      <c r="G7" s="97">
        <v>1100</v>
      </c>
      <c r="H7" s="97">
        <v>560</v>
      </c>
      <c r="I7" s="98"/>
      <c r="J7" s="10">
        <f t="shared" si="0"/>
        <v>6.87</v>
      </c>
      <c r="K7" s="11">
        <v>6</v>
      </c>
      <c r="L7" s="12">
        <f t="shared" si="1"/>
        <v>1.145</v>
      </c>
      <c r="M7" s="13">
        <f t="shared" si="2"/>
        <v>1145</v>
      </c>
      <c r="N7" s="15"/>
    </row>
    <row r="8" spans="1:16" s="5" customFormat="1" ht="12">
      <c r="A8" s="40" t="s">
        <v>65</v>
      </c>
      <c r="B8" s="40" t="s">
        <v>502</v>
      </c>
      <c r="C8" s="97">
        <v>533</v>
      </c>
      <c r="D8" s="97">
        <v>518</v>
      </c>
      <c r="E8" s="97">
        <v>420</v>
      </c>
      <c r="F8" s="97">
        <v>111</v>
      </c>
      <c r="G8" s="97">
        <v>522</v>
      </c>
      <c r="H8" s="97">
        <v>260</v>
      </c>
      <c r="I8" s="98"/>
      <c r="J8" s="10">
        <f t="shared" si="0"/>
        <v>3.1980000000000004</v>
      </c>
      <c r="K8" s="11">
        <v>6</v>
      </c>
      <c r="L8" s="12">
        <f t="shared" si="1"/>
        <v>0.53300000000000003</v>
      </c>
      <c r="M8" s="13">
        <f t="shared" si="2"/>
        <v>533</v>
      </c>
      <c r="N8" s="15"/>
    </row>
    <row r="9" spans="1:16" s="2" customFormat="1" ht="12">
      <c r="A9" s="40" t="s">
        <v>65</v>
      </c>
      <c r="B9" s="40" t="s">
        <v>625</v>
      </c>
      <c r="C9" s="97">
        <v>806</v>
      </c>
      <c r="D9" s="97">
        <v>794</v>
      </c>
      <c r="E9" s="97">
        <v>647</v>
      </c>
      <c r="F9" s="97">
        <v>220</v>
      </c>
      <c r="G9" s="97">
        <v>764</v>
      </c>
      <c r="H9" s="97">
        <v>440</v>
      </c>
      <c r="I9" s="98"/>
      <c r="J9" s="10">
        <f t="shared" si="0"/>
        <v>4.8360000000000003</v>
      </c>
      <c r="K9" s="11">
        <v>6</v>
      </c>
      <c r="L9" s="12">
        <f t="shared" si="1"/>
        <v>0.80600000000000005</v>
      </c>
      <c r="M9" s="13">
        <f t="shared" si="2"/>
        <v>806</v>
      </c>
      <c r="N9" s="15"/>
      <c r="O9" s="5"/>
      <c r="P9" s="5"/>
    </row>
    <row r="10" spans="1:16" s="2" customFormat="1" ht="12">
      <c r="A10" s="40" t="s">
        <v>65</v>
      </c>
      <c r="B10" s="40" t="s">
        <v>637</v>
      </c>
      <c r="C10" s="97">
        <v>305</v>
      </c>
      <c r="D10" s="97">
        <v>302</v>
      </c>
      <c r="E10" s="97">
        <v>264</v>
      </c>
      <c r="F10" s="97">
        <v>69</v>
      </c>
      <c r="G10" s="97">
        <v>294</v>
      </c>
      <c r="H10" s="97">
        <v>148</v>
      </c>
      <c r="I10" s="98"/>
      <c r="J10" s="10">
        <f t="shared" si="0"/>
        <v>1.83</v>
      </c>
      <c r="K10" s="11">
        <v>6</v>
      </c>
      <c r="L10" s="12">
        <f t="shared" si="1"/>
        <v>0.30499999999999999</v>
      </c>
      <c r="M10" s="13">
        <f t="shared" si="2"/>
        <v>305</v>
      </c>
      <c r="N10" s="15"/>
      <c r="O10" s="5"/>
      <c r="P10" s="5"/>
    </row>
    <row r="11" spans="1:16" s="5" customFormat="1" ht="12">
      <c r="A11" s="40" t="s">
        <v>65</v>
      </c>
      <c r="B11" s="40" t="s">
        <v>847</v>
      </c>
      <c r="C11" s="97">
        <v>1157</v>
      </c>
      <c r="D11" s="97">
        <v>1131</v>
      </c>
      <c r="E11" s="97">
        <v>917</v>
      </c>
      <c r="F11" s="97">
        <v>252</v>
      </c>
      <c r="G11" s="97">
        <v>1134</v>
      </c>
      <c r="H11" s="97">
        <v>597</v>
      </c>
      <c r="I11" s="98"/>
      <c r="J11" s="10">
        <f t="shared" si="0"/>
        <v>6.9420000000000002</v>
      </c>
      <c r="K11" s="11">
        <v>6</v>
      </c>
      <c r="L11" s="12">
        <f t="shared" si="1"/>
        <v>1.157</v>
      </c>
      <c r="M11" s="13">
        <f t="shared" si="2"/>
        <v>1157</v>
      </c>
      <c r="N11" s="15"/>
    </row>
    <row r="12" spans="1:16" s="5" customFormat="1" ht="12">
      <c r="A12" s="40" t="s">
        <v>65</v>
      </c>
      <c r="B12" s="40" t="s">
        <v>856</v>
      </c>
      <c r="C12" s="97">
        <v>308</v>
      </c>
      <c r="D12" s="97">
        <v>299</v>
      </c>
      <c r="E12" s="97">
        <v>233</v>
      </c>
      <c r="F12" s="97">
        <v>50</v>
      </c>
      <c r="G12" s="97">
        <v>300</v>
      </c>
      <c r="H12" s="97">
        <v>140</v>
      </c>
      <c r="I12" s="98"/>
      <c r="J12" s="10">
        <f t="shared" si="0"/>
        <v>1.8479999999999999</v>
      </c>
      <c r="K12" s="11">
        <v>6</v>
      </c>
      <c r="L12" s="12">
        <f t="shared" si="1"/>
        <v>0.308</v>
      </c>
      <c r="M12" s="13">
        <f t="shared" si="2"/>
        <v>308</v>
      </c>
      <c r="N12" s="15"/>
    </row>
    <row r="13" spans="1:16" s="5" customFormat="1" ht="12">
      <c r="A13" s="40" t="s">
        <v>65</v>
      </c>
      <c r="B13" s="40" t="s">
        <v>859</v>
      </c>
      <c r="C13" s="97">
        <v>418</v>
      </c>
      <c r="D13" s="97">
        <v>410</v>
      </c>
      <c r="E13" s="97">
        <v>309</v>
      </c>
      <c r="F13" s="97">
        <v>103</v>
      </c>
      <c r="G13" s="97">
        <v>410</v>
      </c>
      <c r="H13" s="97">
        <v>233</v>
      </c>
      <c r="I13" s="98"/>
      <c r="J13" s="10">
        <f t="shared" si="0"/>
        <v>2.508</v>
      </c>
      <c r="K13" s="11">
        <v>6</v>
      </c>
      <c r="L13" s="12">
        <f t="shared" si="1"/>
        <v>0.41799999999999998</v>
      </c>
      <c r="M13" s="13">
        <f t="shared" si="2"/>
        <v>418</v>
      </c>
      <c r="N13" s="15"/>
    </row>
    <row r="14" spans="1:16" s="5" customFormat="1" ht="12">
      <c r="A14" s="40" t="s">
        <v>65</v>
      </c>
      <c r="B14" s="40" t="s">
        <v>863</v>
      </c>
      <c r="C14" s="97">
        <v>497</v>
      </c>
      <c r="D14" s="97">
        <v>474</v>
      </c>
      <c r="E14" s="97">
        <v>332</v>
      </c>
      <c r="F14" s="97">
        <v>83</v>
      </c>
      <c r="G14" s="97">
        <v>476</v>
      </c>
      <c r="H14" s="97">
        <v>200</v>
      </c>
      <c r="I14" s="98"/>
      <c r="J14" s="10">
        <f t="shared" si="0"/>
        <v>2.9820000000000002</v>
      </c>
      <c r="K14" s="11">
        <v>6</v>
      </c>
      <c r="L14" s="12">
        <f t="shared" si="1"/>
        <v>0.497</v>
      </c>
      <c r="M14" s="13">
        <f t="shared" si="2"/>
        <v>497</v>
      </c>
      <c r="N14" s="15"/>
    </row>
    <row r="15" spans="1:16" s="5" customFormat="1" ht="12">
      <c r="A15" s="40" t="s">
        <v>65</v>
      </c>
      <c r="B15" s="40" t="s">
        <v>865</v>
      </c>
      <c r="C15" s="97">
        <v>834</v>
      </c>
      <c r="D15" s="97">
        <v>794</v>
      </c>
      <c r="E15" s="97">
        <v>628</v>
      </c>
      <c r="F15" s="97">
        <v>181</v>
      </c>
      <c r="G15" s="97">
        <v>805</v>
      </c>
      <c r="H15" s="97">
        <v>442</v>
      </c>
      <c r="I15" s="98"/>
      <c r="J15" s="10">
        <f t="shared" si="0"/>
        <v>5.0039999999999996</v>
      </c>
      <c r="K15" s="11">
        <v>6</v>
      </c>
      <c r="L15" s="12">
        <f t="shared" si="1"/>
        <v>0.83399999999999996</v>
      </c>
      <c r="M15" s="13">
        <f t="shared" si="2"/>
        <v>834</v>
      </c>
      <c r="N15" s="15"/>
    </row>
    <row r="16" spans="1:16" s="5" customFormat="1" ht="12">
      <c r="A16" s="40" t="s">
        <v>65</v>
      </c>
      <c r="B16" s="40" t="s">
        <v>875</v>
      </c>
      <c r="C16" s="97">
        <v>1340</v>
      </c>
      <c r="D16" s="97">
        <v>1325</v>
      </c>
      <c r="E16" s="97">
        <v>1067</v>
      </c>
      <c r="F16" s="97">
        <v>361</v>
      </c>
      <c r="G16" s="97">
        <v>1300</v>
      </c>
      <c r="H16" s="97">
        <v>793</v>
      </c>
      <c r="I16" s="98"/>
      <c r="J16" s="10">
        <f t="shared" si="0"/>
        <v>8.0400000000000009</v>
      </c>
      <c r="K16" s="11">
        <v>6</v>
      </c>
      <c r="L16" s="12">
        <f t="shared" si="1"/>
        <v>1.34</v>
      </c>
      <c r="M16" s="13">
        <f t="shared" si="2"/>
        <v>1340</v>
      </c>
      <c r="N16" s="15"/>
    </row>
    <row r="17" spans="1:14" s="5" customFormat="1" ht="12">
      <c r="A17" s="40" t="s">
        <v>65</v>
      </c>
      <c r="B17" s="40" t="s">
        <v>987</v>
      </c>
      <c r="C17" s="97">
        <v>746</v>
      </c>
      <c r="D17" s="97">
        <v>726</v>
      </c>
      <c r="E17" s="97">
        <v>602</v>
      </c>
      <c r="F17" s="97">
        <v>132</v>
      </c>
      <c r="G17" s="97">
        <v>729</v>
      </c>
      <c r="H17" s="97">
        <v>337</v>
      </c>
      <c r="I17" s="98"/>
      <c r="J17" s="10">
        <f t="shared" si="0"/>
        <v>4.476</v>
      </c>
      <c r="K17" s="11">
        <v>6</v>
      </c>
      <c r="L17" s="12">
        <f t="shared" si="1"/>
        <v>0.746</v>
      </c>
      <c r="M17" s="13">
        <f t="shared" si="2"/>
        <v>746</v>
      </c>
      <c r="N17" s="15"/>
    </row>
    <row r="18" spans="1:14" s="5" customFormat="1" ht="12">
      <c r="A18" s="40" t="s">
        <v>65</v>
      </c>
      <c r="B18" s="40" t="s">
        <v>1058</v>
      </c>
      <c r="C18" s="97">
        <v>493</v>
      </c>
      <c r="D18" s="97">
        <v>476</v>
      </c>
      <c r="E18" s="97">
        <v>387</v>
      </c>
      <c r="F18" s="97">
        <v>102</v>
      </c>
      <c r="G18" s="97">
        <v>485</v>
      </c>
      <c r="H18" s="97">
        <v>232</v>
      </c>
      <c r="I18" s="98"/>
      <c r="J18" s="10">
        <f t="shared" si="0"/>
        <v>2.9580000000000002</v>
      </c>
      <c r="K18" s="11">
        <v>6</v>
      </c>
      <c r="L18" s="12">
        <f t="shared" si="1"/>
        <v>0.49299999999999999</v>
      </c>
      <c r="M18" s="13">
        <f t="shared" si="2"/>
        <v>493</v>
      </c>
      <c r="N18" s="15"/>
    </row>
    <row r="19" spans="1:14" s="5" customFormat="1" ht="12">
      <c r="A19" s="40" t="s">
        <v>65</v>
      </c>
      <c r="B19" s="40" t="s">
        <v>1103</v>
      </c>
      <c r="C19" s="97">
        <v>545</v>
      </c>
      <c r="D19" s="97">
        <v>527</v>
      </c>
      <c r="E19" s="97">
        <v>404</v>
      </c>
      <c r="F19" s="97">
        <v>109</v>
      </c>
      <c r="G19" s="97">
        <v>529</v>
      </c>
      <c r="H19" s="97">
        <v>241</v>
      </c>
      <c r="I19" s="98"/>
      <c r="J19" s="10">
        <f t="shared" si="0"/>
        <v>3.2700000000000005</v>
      </c>
      <c r="K19" s="11">
        <v>6</v>
      </c>
      <c r="L19" s="12">
        <f t="shared" si="1"/>
        <v>0.54500000000000004</v>
      </c>
      <c r="M19" s="13">
        <f t="shared" si="2"/>
        <v>545</v>
      </c>
      <c r="N19" s="15"/>
    </row>
    <row r="20" spans="1:14" s="5" customFormat="1" ht="12">
      <c r="A20" s="40" t="s">
        <v>65</v>
      </c>
      <c r="B20" s="40" t="s">
        <v>1126</v>
      </c>
      <c r="C20" s="97">
        <v>610</v>
      </c>
      <c r="D20" s="97">
        <v>598</v>
      </c>
      <c r="E20" s="97">
        <v>487</v>
      </c>
      <c r="F20" s="97">
        <v>128</v>
      </c>
      <c r="G20" s="97">
        <v>606</v>
      </c>
      <c r="H20" s="97">
        <v>312</v>
      </c>
      <c r="I20" s="98"/>
      <c r="J20" s="10">
        <f t="shared" si="0"/>
        <v>3.66</v>
      </c>
      <c r="K20" s="11">
        <v>6</v>
      </c>
      <c r="L20" s="12">
        <f t="shared" si="1"/>
        <v>0.61</v>
      </c>
      <c r="M20" s="13">
        <f t="shared" si="2"/>
        <v>610</v>
      </c>
      <c r="N20" s="15"/>
    </row>
    <row r="21" spans="1:14" s="5" customFormat="1" ht="12">
      <c r="A21" s="40" t="s">
        <v>65</v>
      </c>
      <c r="B21" s="40" t="s">
        <v>1153</v>
      </c>
      <c r="C21" s="97">
        <v>388</v>
      </c>
      <c r="D21" s="97">
        <v>379</v>
      </c>
      <c r="E21" s="97">
        <v>297</v>
      </c>
      <c r="F21" s="97">
        <v>88</v>
      </c>
      <c r="G21" s="97">
        <v>376</v>
      </c>
      <c r="H21" s="97">
        <v>178</v>
      </c>
      <c r="I21" s="98"/>
      <c r="J21" s="10">
        <f t="shared" si="0"/>
        <v>2.3280000000000003</v>
      </c>
      <c r="K21" s="11">
        <v>6</v>
      </c>
      <c r="L21" s="12">
        <f t="shared" si="1"/>
        <v>0.38800000000000001</v>
      </c>
      <c r="M21" s="13">
        <f t="shared" si="2"/>
        <v>388</v>
      </c>
      <c r="N21" s="15"/>
    </row>
    <row r="22" spans="1:14" s="5" customFormat="1" ht="12">
      <c r="A22" s="40" t="s">
        <v>65</v>
      </c>
      <c r="B22" s="40" t="s">
        <v>1166</v>
      </c>
      <c r="C22" s="97">
        <v>566</v>
      </c>
      <c r="D22" s="97">
        <v>558</v>
      </c>
      <c r="E22" s="97">
        <v>463</v>
      </c>
      <c r="F22" s="97">
        <v>147</v>
      </c>
      <c r="G22" s="97">
        <v>557</v>
      </c>
      <c r="H22" s="97">
        <v>318</v>
      </c>
      <c r="I22" s="98"/>
      <c r="J22" s="10">
        <f t="shared" si="0"/>
        <v>3.3959999999999999</v>
      </c>
      <c r="K22" s="11">
        <v>6</v>
      </c>
      <c r="L22" s="12">
        <f t="shared" si="1"/>
        <v>0.56599999999999995</v>
      </c>
      <c r="M22" s="13">
        <f t="shared" si="2"/>
        <v>566</v>
      </c>
      <c r="N22" s="15"/>
    </row>
    <row r="23" spans="1:14" s="5" customFormat="1" ht="12">
      <c r="A23" s="40" t="s">
        <v>65</v>
      </c>
      <c r="B23" s="40" t="s">
        <v>1195</v>
      </c>
      <c r="C23" s="97">
        <v>3691</v>
      </c>
      <c r="D23" s="97">
        <v>3626</v>
      </c>
      <c r="E23" s="97">
        <v>2978</v>
      </c>
      <c r="F23" s="97">
        <v>837</v>
      </c>
      <c r="G23" s="97">
        <v>3612</v>
      </c>
      <c r="H23" s="97">
        <v>1975</v>
      </c>
      <c r="I23" s="98"/>
      <c r="J23" s="10">
        <f t="shared" si="0"/>
        <v>22.146000000000001</v>
      </c>
      <c r="K23" s="11">
        <v>6</v>
      </c>
      <c r="L23" s="12">
        <f t="shared" si="1"/>
        <v>3.6909999999999998</v>
      </c>
      <c r="M23" s="13">
        <f t="shared" si="2"/>
        <v>3691</v>
      </c>
      <c r="N23" s="15"/>
    </row>
    <row r="24" spans="1:14" s="5" customFormat="1" ht="12">
      <c r="A24" s="40" t="s">
        <v>65</v>
      </c>
      <c r="B24" s="40" t="s">
        <v>1251</v>
      </c>
      <c r="C24" s="97">
        <v>548</v>
      </c>
      <c r="D24" s="97">
        <v>538</v>
      </c>
      <c r="E24" s="97">
        <v>412</v>
      </c>
      <c r="F24" s="97">
        <v>111</v>
      </c>
      <c r="G24" s="97">
        <v>529</v>
      </c>
      <c r="H24" s="97">
        <v>244</v>
      </c>
      <c r="I24" s="98"/>
      <c r="J24" s="10">
        <f t="shared" si="0"/>
        <v>3.2880000000000003</v>
      </c>
      <c r="K24" s="11">
        <v>6</v>
      </c>
      <c r="L24" s="12">
        <f t="shared" si="1"/>
        <v>0.54800000000000004</v>
      </c>
      <c r="M24" s="13">
        <f t="shared" si="2"/>
        <v>548</v>
      </c>
      <c r="N24" s="15"/>
    </row>
    <row r="25" spans="1:14" s="5" customFormat="1" ht="12">
      <c r="A25" s="40" t="s">
        <v>65</v>
      </c>
      <c r="B25" s="40" t="s">
        <v>1252</v>
      </c>
      <c r="C25" s="97">
        <v>1124</v>
      </c>
      <c r="D25" s="97">
        <v>1106</v>
      </c>
      <c r="E25" s="97">
        <v>894</v>
      </c>
      <c r="F25" s="97">
        <v>247</v>
      </c>
      <c r="G25" s="97">
        <v>1100</v>
      </c>
      <c r="H25" s="97">
        <v>563</v>
      </c>
      <c r="I25" s="98"/>
      <c r="J25" s="10">
        <f t="shared" si="0"/>
        <v>6.7440000000000007</v>
      </c>
      <c r="K25" s="11">
        <v>6</v>
      </c>
      <c r="L25" s="12">
        <f t="shared" si="1"/>
        <v>1.1240000000000001</v>
      </c>
      <c r="M25" s="13">
        <f t="shared" si="2"/>
        <v>1124</v>
      </c>
      <c r="N25" s="15"/>
    </row>
    <row r="26" spans="1:14" s="5" customFormat="1" ht="12">
      <c r="A26" s="40" t="s">
        <v>65</v>
      </c>
      <c r="B26" s="40" t="s">
        <v>1261</v>
      </c>
      <c r="C26" s="97">
        <v>393</v>
      </c>
      <c r="D26" s="97">
        <v>378</v>
      </c>
      <c r="E26" s="97">
        <v>272</v>
      </c>
      <c r="F26" s="97">
        <v>123</v>
      </c>
      <c r="G26" s="97">
        <v>385</v>
      </c>
      <c r="H26" s="97">
        <v>222</v>
      </c>
      <c r="I26" s="98"/>
      <c r="J26" s="10">
        <f t="shared" si="0"/>
        <v>2.3580000000000001</v>
      </c>
      <c r="K26" s="11">
        <v>6</v>
      </c>
      <c r="L26" s="12">
        <f t="shared" si="1"/>
        <v>0.39300000000000002</v>
      </c>
      <c r="M26" s="13">
        <f t="shared" si="2"/>
        <v>393</v>
      </c>
      <c r="N26" s="15"/>
    </row>
    <row r="27" spans="1:14" s="5" customFormat="1" ht="12">
      <c r="A27" s="40" t="s">
        <v>65</v>
      </c>
      <c r="B27" s="40" t="s">
        <v>1416</v>
      </c>
      <c r="C27" s="97">
        <v>465</v>
      </c>
      <c r="D27" s="97">
        <v>433</v>
      </c>
      <c r="E27" s="97">
        <v>307</v>
      </c>
      <c r="F27" s="97">
        <v>98</v>
      </c>
      <c r="G27" s="97">
        <v>460</v>
      </c>
      <c r="H27" s="97">
        <v>188</v>
      </c>
      <c r="I27" s="98"/>
      <c r="J27" s="10">
        <f t="shared" si="0"/>
        <v>2.79</v>
      </c>
      <c r="K27" s="11">
        <v>6</v>
      </c>
      <c r="L27" s="12">
        <f t="shared" si="1"/>
        <v>0.46500000000000002</v>
      </c>
      <c r="M27" s="13">
        <f t="shared" si="2"/>
        <v>465</v>
      </c>
      <c r="N27" s="15"/>
    </row>
    <row r="28" spans="1:14" s="5" customFormat="1" ht="12">
      <c r="A28" s="40" t="s">
        <v>65</v>
      </c>
      <c r="B28" s="40" t="s">
        <v>1590</v>
      </c>
      <c r="C28" s="97">
        <v>347</v>
      </c>
      <c r="D28" s="97">
        <v>331</v>
      </c>
      <c r="E28" s="97">
        <v>294</v>
      </c>
      <c r="F28" s="97">
        <v>93</v>
      </c>
      <c r="G28" s="97">
        <v>346</v>
      </c>
      <c r="H28" s="97">
        <v>191</v>
      </c>
      <c r="I28" s="98"/>
      <c r="J28" s="10">
        <f t="shared" si="0"/>
        <v>2.0819999999999999</v>
      </c>
      <c r="K28" s="11">
        <v>6</v>
      </c>
      <c r="L28" s="12">
        <f t="shared" si="1"/>
        <v>0.34699999999999998</v>
      </c>
      <c r="M28" s="13">
        <f t="shared" si="2"/>
        <v>347</v>
      </c>
      <c r="N28" s="15"/>
    </row>
    <row r="29" spans="1:14" s="5" customFormat="1" ht="12">
      <c r="A29" s="40" t="s">
        <v>65</v>
      </c>
      <c r="B29" s="40" t="s">
        <v>1857</v>
      </c>
      <c r="C29" s="97">
        <v>1041</v>
      </c>
      <c r="D29" s="97">
        <v>1006</v>
      </c>
      <c r="E29" s="97">
        <v>874</v>
      </c>
      <c r="F29" s="97">
        <v>193</v>
      </c>
      <c r="G29" s="97">
        <v>1023</v>
      </c>
      <c r="H29" s="97">
        <v>549</v>
      </c>
      <c r="I29" s="98"/>
      <c r="J29" s="10">
        <f t="shared" si="0"/>
        <v>6.2459999999999996</v>
      </c>
      <c r="K29" s="11">
        <v>6</v>
      </c>
      <c r="L29" s="12">
        <f t="shared" si="1"/>
        <v>1.0409999999999999</v>
      </c>
      <c r="M29" s="13">
        <f t="shared" si="2"/>
        <v>1041</v>
      </c>
      <c r="N29" s="15"/>
    </row>
    <row r="30" spans="1:14" s="5" customFormat="1" ht="12">
      <c r="A30" s="40" t="s">
        <v>27</v>
      </c>
      <c r="B30" s="40" t="s">
        <v>100</v>
      </c>
      <c r="C30" s="97">
        <v>1542</v>
      </c>
      <c r="D30" s="97">
        <v>1537</v>
      </c>
      <c r="E30" s="97">
        <v>1260</v>
      </c>
      <c r="F30" s="97">
        <v>363</v>
      </c>
      <c r="G30" s="97">
        <v>1487</v>
      </c>
      <c r="H30" s="97">
        <v>796</v>
      </c>
      <c r="I30" s="98"/>
      <c r="J30" s="10">
        <f t="shared" si="0"/>
        <v>9.2520000000000007</v>
      </c>
      <c r="K30" s="11">
        <v>6</v>
      </c>
      <c r="L30" s="12">
        <f t="shared" si="1"/>
        <v>1.542</v>
      </c>
      <c r="M30" s="13">
        <f t="shared" si="2"/>
        <v>1542</v>
      </c>
      <c r="N30" s="15"/>
    </row>
    <row r="31" spans="1:14" s="5" customFormat="1" ht="12">
      <c r="A31" s="40" t="s">
        <v>27</v>
      </c>
      <c r="B31" s="40" t="s">
        <v>234</v>
      </c>
      <c r="C31" s="97">
        <v>577</v>
      </c>
      <c r="D31" s="97">
        <v>564</v>
      </c>
      <c r="E31" s="97">
        <v>430</v>
      </c>
      <c r="F31" s="97">
        <v>128</v>
      </c>
      <c r="G31" s="97">
        <v>568</v>
      </c>
      <c r="H31" s="97">
        <v>274</v>
      </c>
      <c r="I31" s="98"/>
      <c r="J31" s="10">
        <f t="shared" si="0"/>
        <v>3.4619999999999997</v>
      </c>
      <c r="K31" s="11">
        <v>6</v>
      </c>
      <c r="L31" s="12">
        <f t="shared" si="1"/>
        <v>0.57699999999999996</v>
      </c>
      <c r="M31" s="13">
        <f t="shared" si="2"/>
        <v>577</v>
      </c>
      <c r="N31" s="15"/>
    </row>
    <row r="32" spans="1:14" s="5" customFormat="1" ht="12">
      <c r="A32" s="40" t="s">
        <v>27</v>
      </c>
      <c r="B32" s="40" t="s">
        <v>260</v>
      </c>
      <c r="C32" s="97">
        <v>571</v>
      </c>
      <c r="D32" s="97">
        <v>559</v>
      </c>
      <c r="E32" s="97">
        <v>456</v>
      </c>
      <c r="F32" s="97">
        <v>124</v>
      </c>
      <c r="G32" s="97">
        <v>547</v>
      </c>
      <c r="H32" s="97">
        <v>283</v>
      </c>
      <c r="I32" s="98"/>
      <c r="J32" s="10">
        <f t="shared" si="0"/>
        <v>3.4259999999999997</v>
      </c>
      <c r="K32" s="11">
        <v>6</v>
      </c>
      <c r="L32" s="12">
        <f t="shared" si="1"/>
        <v>0.57099999999999995</v>
      </c>
      <c r="M32" s="13">
        <f t="shared" si="2"/>
        <v>571</v>
      </c>
      <c r="N32" s="15"/>
    </row>
    <row r="33" spans="1:14" s="5" customFormat="1" ht="12">
      <c r="A33" s="40" t="s">
        <v>27</v>
      </c>
      <c r="B33" s="40" t="s">
        <v>270</v>
      </c>
      <c r="C33" s="97">
        <v>329</v>
      </c>
      <c r="D33" s="97">
        <v>305</v>
      </c>
      <c r="E33" s="97">
        <v>216</v>
      </c>
      <c r="F33" s="97">
        <v>74</v>
      </c>
      <c r="G33" s="97">
        <v>307</v>
      </c>
      <c r="H33" s="97">
        <v>148</v>
      </c>
      <c r="I33" s="98"/>
      <c r="J33" s="10">
        <f t="shared" si="0"/>
        <v>1.9740000000000002</v>
      </c>
      <c r="K33" s="11">
        <v>6</v>
      </c>
      <c r="L33" s="12">
        <f t="shared" si="1"/>
        <v>0.32900000000000001</v>
      </c>
      <c r="M33" s="13">
        <f t="shared" si="2"/>
        <v>329</v>
      </c>
      <c r="N33" s="15"/>
    </row>
    <row r="34" spans="1:14" s="5" customFormat="1" ht="12">
      <c r="A34" s="40" t="s">
        <v>27</v>
      </c>
      <c r="B34" s="40" t="s">
        <v>293</v>
      </c>
      <c r="C34" s="97">
        <v>1654</v>
      </c>
      <c r="D34" s="97">
        <v>1645</v>
      </c>
      <c r="E34" s="97">
        <v>1326</v>
      </c>
      <c r="F34" s="97">
        <v>395</v>
      </c>
      <c r="G34" s="97">
        <v>1617</v>
      </c>
      <c r="H34" s="97">
        <v>868</v>
      </c>
      <c r="I34" s="98"/>
      <c r="J34" s="10">
        <f t="shared" si="0"/>
        <v>9.9239999999999995</v>
      </c>
      <c r="K34" s="11">
        <v>6</v>
      </c>
      <c r="L34" s="12">
        <f t="shared" si="1"/>
        <v>1.6539999999999999</v>
      </c>
      <c r="M34" s="13">
        <f t="shared" si="2"/>
        <v>1654</v>
      </c>
      <c r="N34" s="15"/>
    </row>
    <row r="35" spans="1:14" s="5" customFormat="1" ht="12">
      <c r="A35" s="40" t="s">
        <v>27</v>
      </c>
      <c r="B35" s="40" t="s">
        <v>311</v>
      </c>
      <c r="C35" s="97">
        <v>756</v>
      </c>
      <c r="D35" s="97">
        <v>742</v>
      </c>
      <c r="E35" s="97">
        <v>612</v>
      </c>
      <c r="F35" s="97">
        <v>158</v>
      </c>
      <c r="G35" s="97">
        <v>740</v>
      </c>
      <c r="H35" s="97">
        <v>378</v>
      </c>
      <c r="I35" s="98"/>
      <c r="J35" s="10">
        <f t="shared" ref="J35:J66" si="3">+K35*L35</f>
        <v>4.5359999999999996</v>
      </c>
      <c r="K35" s="11">
        <v>6</v>
      </c>
      <c r="L35" s="12">
        <f t="shared" ref="L35:L66" si="4">+M35/1000</f>
        <v>0.75600000000000001</v>
      </c>
      <c r="M35" s="13">
        <f t="shared" ref="M35:M66" si="5">+C35</f>
        <v>756</v>
      </c>
      <c r="N35" s="15"/>
    </row>
    <row r="36" spans="1:14" s="5" customFormat="1" ht="12">
      <c r="A36" s="40" t="s">
        <v>27</v>
      </c>
      <c r="B36" s="40" t="s">
        <v>325</v>
      </c>
      <c r="C36" s="97">
        <v>321</v>
      </c>
      <c r="D36" s="97">
        <v>304</v>
      </c>
      <c r="E36" s="97">
        <v>228</v>
      </c>
      <c r="F36" s="97">
        <v>70</v>
      </c>
      <c r="G36" s="97">
        <v>296</v>
      </c>
      <c r="H36" s="97">
        <v>163</v>
      </c>
      <c r="I36" s="98"/>
      <c r="J36" s="10">
        <f t="shared" si="3"/>
        <v>1.9260000000000002</v>
      </c>
      <c r="K36" s="11">
        <v>6</v>
      </c>
      <c r="L36" s="12">
        <f t="shared" si="4"/>
        <v>0.32100000000000001</v>
      </c>
      <c r="M36" s="13">
        <f t="shared" si="5"/>
        <v>321</v>
      </c>
      <c r="N36" s="15"/>
    </row>
    <row r="37" spans="1:14" s="5" customFormat="1" ht="12">
      <c r="A37" s="40" t="s">
        <v>27</v>
      </c>
      <c r="B37" s="40" t="s">
        <v>351</v>
      </c>
      <c r="C37" s="97">
        <v>466</v>
      </c>
      <c r="D37" s="97">
        <v>449</v>
      </c>
      <c r="E37" s="97">
        <v>367</v>
      </c>
      <c r="F37" s="97">
        <v>115</v>
      </c>
      <c r="G37" s="97">
        <v>455</v>
      </c>
      <c r="H37" s="97">
        <v>241</v>
      </c>
      <c r="I37" s="98"/>
      <c r="J37" s="10">
        <f t="shared" si="3"/>
        <v>2.7960000000000003</v>
      </c>
      <c r="K37" s="11">
        <v>6</v>
      </c>
      <c r="L37" s="12">
        <f t="shared" si="4"/>
        <v>0.46600000000000003</v>
      </c>
      <c r="M37" s="13">
        <f t="shared" si="5"/>
        <v>466</v>
      </c>
      <c r="N37" s="15"/>
    </row>
    <row r="38" spans="1:14" s="5" customFormat="1" ht="12">
      <c r="A38" s="40" t="s">
        <v>27</v>
      </c>
      <c r="B38" s="40" t="s">
        <v>353</v>
      </c>
      <c r="C38" s="97">
        <v>457</v>
      </c>
      <c r="D38" s="97">
        <v>453</v>
      </c>
      <c r="E38" s="97">
        <v>403</v>
      </c>
      <c r="F38" s="97">
        <v>182</v>
      </c>
      <c r="G38" s="97">
        <v>448</v>
      </c>
      <c r="H38" s="97">
        <v>336</v>
      </c>
      <c r="I38" s="98"/>
      <c r="J38" s="10">
        <f t="shared" si="3"/>
        <v>2.742</v>
      </c>
      <c r="K38" s="11">
        <v>6</v>
      </c>
      <c r="L38" s="12">
        <f t="shared" si="4"/>
        <v>0.45700000000000002</v>
      </c>
      <c r="M38" s="13">
        <f t="shared" si="5"/>
        <v>457</v>
      </c>
      <c r="N38" s="15"/>
    </row>
    <row r="39" spans="1:14" s="5" customFormat="1" ht="12">
      <c r="A39" s="40" t="s">
        <v>27</v>
      </c>
      <c r="B39" s="40" t="s">
        <v>390</v>
      </c>
      <c r="C39" s="97">
        <v>371</v>
      </c>
      <c r="D39" s="97">
        <v>364</v>
      </c>
      <c r="E39" s="97">
        <v>305</v>
      </c>
      <c r="F39" s="97">
        <v>107</v>
      </c>
      <c r="G39" s="97">
        <v>362</v>
      </c>
      <c r="H39" s="97">
        <v>240</v>
      </c>
      <c r="I39" s="98"/>
      <c r="J39" s="10">
        <f t="shared" si="3"/>
        <v>2.226</v>
      </c>
      <c r="K39" s="11">
        <v>6</v>
      </c>
      <c r="L39" s="12">
        <f t="shared" si="4"/>
        <v>0.371</v>
      </c>
      <c r="M39" s="13">
        <f t="shared" si="5"/>
        <v>371</v>
      </c>
      <c r="N39" s="15"/>
    </row>
    <row r="40" spans="1:14" s="5" customFormat="1" ht="12">
      <c r="A40" s="40" t="s">
        <v>27</v>
      </c>
      <c r="B40" s="40" t="s">
        <v>412</v>
      </c>
      <c r="C40" s="97">
        <v>641</v>
      </c>
      <c r="D40" s="97">
        <v>626</v>
      </c>
      <c r="E40" s="97">
        <v>541</v>
      </c>
      <c r="F40" s="97">
        <v>202</v>
      </c>
      <c r="G40" s="97">
        <v>624</v>
      </c>
      <c r="H40" s="97">
        <v>457</v>
      </c>
      <c r="I40" s="98"/>
      <c r="J40" s="10">
        <f t="shared" si="3"/>
        <v>3.8460000000000001</v>
      </c>
      <c r="K40" s="11">
        <v>6</v>
      </c>
      <c r="L40" s="12">
        <f t="shared" si="4"/>
        <v>0.64100000000000001</v>
      </c>
      <c r="M40" s="13">
        <f t="shared" si="5"/>
        <v>641</v>
      </c>
      <c r="N40" s="15"/>
    </row>
    <row r="41" spans="1:14" s="5" customFormat="1" ht="12">
      <c r="A41" s="40" t="s">
        <v>27</v>
      </c>
      <c r="B41" s="40" t="s">
        <v>433</v>
      </c>
      <c r="C41" s="97">
        <v>399</v>
      </c>
      <c r="D41" s="97">
        <v>386</v>
      </c>
      <c r="E41" s="97">
        <v>319</v>
      </c>
      <c r="F41" s="97">
        <v>130</v>
      </c>
      <c r="G41" s="97">
        <v>384</v>
      </c>
      <c r="H41" s="97">
        <v>258</v>
      </c>
      <c r="I41" s="98"/>
      <c r="J41" s="10">
        <f t="shared" si="3"/>
        <v>2.3940000000000001</v>
      </c>
      <c r="K41" s="11">
        <v>6</v>
      </c>
      <c r="L41" s="12">
        <f t="shared" si="4"/>
        <v>0.39900000000000002</v>
      </c>
      <c r="M41" s="13">
        <f t="shared" si="5"/>
        <v>399</v>
      </c>
      <c r="N41" s="15"/>
    </row>
    <row r="42" spans="1:14" s="5" customFormat="1" ht="12">
      <c r="A42" s="40" t="s">
        <v>27</v>
      </c>
      <c r="B42" s="40" t="s">
        <v>439</v>
      </c>
      <c r="C42" s="97">
        <v>635</v>
      </c>
      <c r="D42" s="97">
        <v>621</v>
      </c>
      <c r="E42" s="97">
        <v>538</v>
      </c>
      <c r="F42" s="97">
        <v>212</v>
      </c>
      <c r="G42" s="97">
        <v>602</v>
      </c>
      <c r="H42" s="97">
        <v>420</v>
      </c>
      <c r="I42" s="98"/>
      <c r="J42" s="10">
        <f t="shared" si="3"/>
        <v>3.81</v>
      </c>
      <c r="K42" s="11">
        <v>6</v>
      </c>
      <c r="L42" s="12">
        <f t="shared" si="4"/>
        <v>0.63500000000000001</v>
      </c>
      <c r="M42" s="13">
        <f t="shared" si="5"/>
        <v>635</v>
      </c>
      <c r="N42" s="15"/>
    </row>
    <row r="43" spans="1:14" s="5" customFormat="1" ht="12">
      <c r="A43" s="40" t="s">
        <v>27</v>
      </c>
      <c r="B43" s="40" t="s">
        <v>454</v>
      </c>
      <c r="C43" s="97">
        <v>986</v>
      </c>
      <c r="D43" s="97">
        <v>978</v>
      </c>
      <c r="E43" s="97">
        <v>834</v>
      </c>
      <c r="F43" s="97">
        <v>215</v>
      </c>
      <c r="G43" s="97">
        <v>962</v>
      </c>
      <c r="H43" s="97">
        <v>491</v>
      </c>
      <c r="I43" s="98"/>
      <c r="J43" s="10">
        <f t="shared" si="3"/>
        <v>5.9160000000000004</v>
      </c>
      <c r="K43" s="11">
        <v>6</v>
      </c>
      <c r="L43" s="12">
        <f t="shared" si="4"/>
        <v>0.98599999999999999</v>
      </c>
      <c r="M43" s="13">
        <f t="shared" si="5"/>
        <v>986</v>
      </c>
      <c r="N43" s="15"/>
    </row>
    <row r="44" spans="1:14" s="5" customFormat="1" ht="12">
      <c r="A44" s="40" t="s">
        <v>27</v>
      </c>
      <c r="B44" s="40" t="s">
        <v>459</v>
      </c>
      <c r="C44" s="97">
        <v>2029</v>
      </c>
      <c r="D44" s="97">
        <v>2020</v>
      </c>
      <c r="E44" s="97">
        <v>1685</v>
      </c>
      <c r="F44" s="97">
        <v>519</v>
      </c>
      <c r="G44" s="97">
        <v>1969</v>
      </c>
      <c r="H44" s="97">
        <v>1137</v>
      </c>
      <c r="I44" s="98"/>
      <c r="J44" s="10">
        <f t="shared" si="3"/>
        <v>12.173999999999999</v>
      </c>
      <c r="K44" s="11">
        <v>6</v>
      </c>
      <c r="L44" s="12">
        <f t="shared" si="4"/>
        <v>2.0289999999999999</v>
      </c>
      <c r="M44" s="13">
        <f t="shared" si="5"/>
        <v>2029</v>
      </c>
      <c r="N44" s="15"/>
    </row>
    <row r="45" spans="1:14" s="5" customFormat="1" ht="12">
      <c r="A45" s="40" t="s">
        <v>27</v>
      </c>
      <c r="B45" s="40" t="s">
        <v>551</v>
      </c>
      <c r="C45" s="97">
        <v>339</v>
      </c>
      <c r="D45" s="97">
        <v>331</v>
      </c>
      <c r="E45" s="97">
        <v>262</v>
      </c>
      <c r="F45" s="97">
        <v>77</v>
      </c>
      <c r="G45" s="97">
        <v>334</v>
      </c>
      <c r="H45" s="97">
        <v>184</v>
      </c>
      <c r="I45" s="98"/>
      <c r="J45" s="10">
        <f t="shared" si="3"/>
        <v>2.0340000000000003</v>
      </c>
      <c r="K45" s="11">
        <v>6</v>
      </c>
      <c r="L45" s="12">
        <f t="shared" si="4"/>
        <v>0.33900000000000002</v>
      </c>
      <c r="M45" s="13">
        <f t="shared" si="5"/>
        <v>339</v>
      </c>
      <c r="N45" s="15"/>
    </row>
    <row r="46" spans="1:14" s="5" customFormat="1" ht="12">
      <c r="A46" s="40" t="s">
        <v>27</v>
      </c>
      <c r="B46" s="40" t="s">
        <v>629</v>
      </c>
      <c r="C46" s="97">
        <v>745</v>
      </c>
      <c r="D46" s="97">
        <v>737</v>
      </c>
      <c r="E46" s="97">
        <v>617</v>
      </c>
      <c r="F46" s="97">
        <v>237</v>
      </c>
      <c r="G46" s="97">
        <v>732</v>
      </c>
      <c r="H46" s="97">
        <v>459</v>
      </c>
      <c r="I46" s="98"/>
      <c r="J46" s="10">
        <f t="shared" si="3"/>
        <v>4.47</v>
      </c>
      <c r="K46" s="11">
        <v>6</v>
      </c>
      <c r="L46" s="12">
        <f t="shared" si="4"/>
        <v>0.745</v>
      </c>
      <c r="M46" s="13">
        <f t="shared" si="5"/>
        <v>745</v>
      </c>
      <c r="N46" s="15"/>
    </row>
    <row r="47" spans="1:14" s="5" customFormat="1" ht="12">
      <c r="A47" s="40" t="s">
        <v>27</v>
      </c>
      <c r="B47" s="40" t="s">
        <v>647</v>
      </c>
      <c r="C47" s="97">
        <v>464</v>
      </c>
      <c r="D47" s="97">
        <v>455</v>
      </c>
      <c r="E47" s="97">
        <v>355</v>
      </c>
      <c r="F47" s="97">
        <v>84</v>
      </c>
      <c r="G47" s="97">
        <v>451</v>
      </c>
      <c r="H47" s="97">
        <v>197</v>
      </c>
      <c r="I47" s="98"/>
      <c r="J47" s="10">
        <f t="shared" si="3"/>
        <v>2.7840000000000003</v>
      </c>
      <c r="K47" s="11">
        <v>6</v>
      </c>
      <c r="L47" s="12">
        <f t="shared" si="4"/>
        <v>0.46400000000000002</v>
      </c>
      <c r="M47" s="13">
        <f t="shared" si="5"/>
        <v>464</v>
      </c>
      <c r="N47" s="15"/>
    </row>
    <row r="48" spans="1:14" s="5" customFormat="1" ht="12">
      <c r="A48" s="40" t="s">
        <v>27</v>
      </c>
      <c r="B48" s="40" t="s">
        <v>652</v>
      </c>
      <c r="C48" s="97">
        <v>657</v>
      </c>
      <c r="D48" s="97">
        <v>654</v>
      </c>
      <c r="E48" s="97">
        <v>511</v>
      </c>
      <c r="F48" s="97">
        <v>110</v>
      </c>
      <c r="G48" s="97">
        <v>635</v>
      </c>
      <c r="H48" s="97">
        <v>268</v>
      </c>
      <c r="I48" s="98"/>
      <c r="J48" s="10">
        <f t="shared" si="3"/>
        <v>3.9420000000000002</v>
      </c>
      <c r="K48" s="11">
        <v>6</v>
      </c>
      <c r="L48" s="12">
        <f t="shared" si="4"/>
        <v>0.65700000000000003</v>
      </c>
      <c r="M48" s="13">
        <f t="shared" si="5"/>
        <v>657</v>
      </c>
      <c r="N48" s="15"/>
    </row>
    <row r="49" spans="1:14" s="5" customFormat="1" ht="12">
      <c r="A49" s="40" t="s">
        <v>27</v>
      </c>
      <c r="B49" s="40" t="s">
        <v>653</v>
      </c>
      <c r="C49" s="97">
        <v>722</v>
      </c>
      <c r="D49" s="97">
        <v>707</v>
      </c>
      <c r="E49" s="97">
        <v>575</v>
      </c>
      <c r="F49" s="97">
        <v>186</v>
      </c>
      <c r="G49" s="97">
        <v>704</v>
      </c>
      <c r="H49" s="97">
        <v>386</v>
      </c>
      <c r="I49" s="98"/>
      <c r="J49" s="10">
        <f t="shared" si="3"/>
        <v>4.3319999999999999</v>
      </c>
      <c r="K49" s="11">
        <v>6</v>
      </c>
      <c r="L49" s="12">
        <f t="shared" si="4"/>
        <v>0.72199999999999998</v>
      </c>
      <c r="M49" s="13">
        <f t="shared" si="5"/>
        <v>722</v>
      </c>
      <c r="N49" s="15"/>
    </row>
    <row r="50" spans="1:14" s="5" customFormat="1" ht="12">
      <c r="A50" s="40" t="s">
        <v>27</v>
      </c>
      <c r="B50" s="40" t="s">
        <v>748</v>
      </c>
      <c r="C50" s="97">
        <v>460</v>
      </c>
      <c r="D50" s="97">
        <v>456</v>
      </c>
      <c r="E50" s="97">
        <v>373</v>
      </c>
      <c r="F50" s="97">
        <v>86</v>
      </c>
      <c r="G50" s="97">
        <v>446</v>
      </c>
      <c r="H50" s="97">
        <v>228</v>
      </c>
      <c r="I50" s="98"/>
      <c r="J50" s="10">
        <f t="shared" si="3"/>
        <v>2.7600000000000002</v>
      </c>
      <c r="K50" s="11">
        <v>6</v>
      </c>
      <c r="L50" s="12">
        <f t="shared" si="4"/>
        <v>0.46</v>
      </c>
      <c r="M50" s="13">
        <f t="shared" si="5"/>
        <v>460</v>
      </c>
      <c r="N50" s="15"/>
    </row>
    <row r="51" spans="1:14" s="5" customFormat="1" ht="12">
      <c r="A51" s="40" t="s">
        <v>27</v>
      </c>
      <c r="B51" s="40" t="s">
        <v>794</v>
      </c>
      <c r="C51" s="97">
        <v>1710</v>
      </c>
      <c r="D51" s="97">
        <v>1695</v>
      </c>
      <c r="E51" s="97">
        <v>1449</v>
      </c>
      <c r="F51" s="97">
        <v>459</v>
      </c>
      <c r="G51" s="97">
        <v>1676</v>
      </c>
      <c r="H51" s="97">
        <v>989</v>
      </c>
      <c r="I51" s="98"/>
      <c r="J51" s="10">
        <f t="shared" si="3"/>
        <v>10.26</v>
      </c>
      <c r="K51" s="11">
        <v>6</v>
      </c>
      <c r="L51" s="12">
        <f t="shared" si="4"/>
        <v>1.71</v>
      </c>
      <c r="M51" s="13">
        <f t="shared" si="5"/>
        <v>1710</v>
      </c>
      <c r="N51" s="15"/>
    </row>
    <row r="52" spans="1:14" s="5" customFormat="1" ht="12">
      <c r="A52" s="40" t="s">
        <v>27</v>
      </c>
      <c r="B52" s="40" t="s">
        <v>874</v>
      </c>
      <c r="C52" s="97">
        <v>727</v>
      </c>
      <c r="D52" s="97">
        <v>724</v>
      </c>
      <c r="E52" s="97">
        <v>613</v>
      </c>
      <c r="F52" s="97">
        <v>184</v>
      </c>
      <c r="G52" s="97">
        <v>682</v>
      </c>
      <c r="H52" s="97">
        <v>424</v>
      </c>
      <c r="I52" s="98"/>
      <c r="J52" s="10">
        <f t="shared" si="3"/>
        <v>4.3620000000000001</v>
      </c>
      <c r="K52" s="11">
        <v>6</v>
      </c>
      <c r="L52" s="12">
        <f t="shared" si="4"/>
        <v>0.72699999999999998</v>
      </c>
      <c r="M52" s="13">
        <f t="shared" si="5"/>
        <v>727</v>
      </c>
      <c r="N52" s="15"/>
    </row>
    <row r="53" spans="1:14" s="5" customFormat="1" ht="12">
      <c r="A53" s="40" t="s">
        <v>27</v>
      </c>
      <c r="B53" s="40" t="s">
        <v>884</v>
      </c>
      <c r="C53" s="97">
        <v>333</v>
      </c>
      <c r="D53" s="97">
        <v>328</v>
      </c>
      <c r="E53" s="97">
        <v>277</v>
      </c>
      <c r="F53" s="97">
        <v>68</v>
      </c>
      <c r="G53" s="97">
        <v>326</v>
      </c>
      <c r="H53" s="97">
        <v>188</v>
      </c>
      <c r="I53" s="98"/>
      <c r="J53" s="10">
        <f t="shared" si="3"/>
        <v>1.9980000000000002</v>
      </c>
      <c r="K53" s="11">
        <v>6</v>
      </c>
      <c r="L53" s="12">
        <f t="shared" si="4"/>
        <v>0.33300000000000002</v>
      </c>
      <c r="M53" s="13">
        <f t="shared" si="5"/>
        <v>333</v>
      </c>
      <c r="N53" s="15"/>
    </row>
    <row r="54" spans="1:14" s="5" customFormat="1" ht="12">
      <c r="A54" s="40" t="s">
        <v>27</v>
      </c>
      <c r="B54" s="40" t="s">
        <v>1108</v>
      </c>
      <c r="C54" s="97">
        <v>339</v>
      </c>
      <c r="D54" s="97">
        <v>338</v>
      </c>
      <c r="E54" s="97">
        <v>303</v>
      </c>
      <c r="F54" s="97">
        <v>58</v>
      </c>
      <c r="G54" s="97">
        <v>335</v>
      </c>
      <c r="H54" s="97">
        <v>172</v>
      </c>
      <c r="I54" s="98"/>
      <c r="J54" s="10">
        <f t="shared" si="3"/>
        <v>2.0340000000000003</v>
      </c>
      <c r="K54" s="11">
        <v>6</v>
      </c>
      <c r="L54" s="12">
        <f t="shared" si="4"/>
        <v>0.33900000000000002</v>
      </c>
      <c r="M54" s="13">
        <f t="shared" si="5"/>
        <v>339</v>
      </c>
      <c r="N54" s="15"/>
    </row>
    <row r="55" spans="1:14" s="5" customFormat="1" ht="12">
      <c r="A55" s="40" t="s">
        <v>27</v>
      </c>
      <c r="B55" s="40" t="s">
        <v>1115</v>
      </c>
      <c r="C55" s="97">
        <v>445</v>
      </c>
      <c r="D55" s="97">
        <v>440</v>
      </c>
      <c r="E55" s="97">
        <v>355</v>
      </c>
      <c r="F55" s="97">
        <v>97</v>
      </c>
      <c r="G55" s="97">
        <v>436</v>
      </c>
      <c r="H55" s="97">
        <v>225</v>
      </c>
      <c r="I55" s="98"/>
      <c r="J55" s="10">
        <f t="shared" si="3"/>
        <v>2.67</v>
      </c>
      <c r="K55" s="11">
        <v>6</v>
      </c>
      <c r="L55" s="12">
        <f t="shared" si="4"/>
        <v>0.44500000000000001</v>
      </c>
      <c r="M55" s="13">
        <f t="shared" si="5"/>
        <v>445</v>
      </c>
      <c r="N55" s="15"/>
    </row>
    <row r="56" spans="1:14" s="5" customFormat="1" ht="12">
      <c r="A56" s="40" t="s">
        <v>27</v>
      </c>
      <c r="B56" s="40" t="s">
        <v>1217</v>
      </c>
      <c r="C56" s="97">
        <v>968</v>
      </c>
      <c r="D56" s="97">
        <v>957</v>
      </c>
      <c r="E56" s="97">
        <v>783</v>
      </c>
      <c r="F56" s="97">
        <v>226</v>
      </c>
      <c r="G56" s="97">
        <v>953</v>
      </c>
      <c r="H56" s="97">
        <v>488</v>
      </c>
      <c r="I56" s="98"/>
      <c r="J56" s="10">
        <f t="shared" si="3"/>
        <v>5.8079999999999998</v>
      </c>
      <c r="K56" s="11">
        <v>6</v>
      </c>
      <c r="L56" s="12">
        <f t="shared" si="4"/>
        <v>0.96799999999999997</v>
      </c>
      <c r="M56" s="13">
        <f t="shared" si="5"/>
        <v>968</v>
      </c>
      <c r="N56" s="15"/>
    </row>
    <row r="57" spans="1:14" s="5" customFormat="1" ht="12">
      <c r="A57" s="40" t="s">
        <v>27</v>
      </c>
      <c r="B57" s="40" t="s">
        <v>1271</v>
      </c>
      <c r="C57" s="97">
        <v>412</v>
      </c>
      <c r="D57" s="97">
        <v>406</v>
      </c>
      <c r="E57" s="97">
        <v>318</v>
      </c>
      <c r="F57" s="97">
        <v>86</v>
      </c>
      <c r="G57" s="97">
        <v>401</v>
      </c>
      <c r="H57" s="97">
        <v>206</v>
      </c>
      <c r="I57" s="98"/>
      <c r="J57" s="10">
        <f t="shared" si="3"/>
        <v>2.472</v>
      </c>
      <c r="K57" s="11">
        <v>6</v>
      </c>
      <c r="L57" s="12">
        <f t="shared" si="4"/>
        <v>0.41199999999999998</v>
      </c>
      <c r="M57" s="13">
        <f t="shared" si="5"/>
        <v>412</v>
      </c>
      <c r="N57" s="15"/>
    </row>
    <row r="58" spans="1:14" s="5" customFormat="1" ht="12">
      <c r="A58" s="40" t="s">
        <v>27</v>
      </c>
      <c r="B58" s="40" t="s">
        <v>1419</v>
      </c>
      <c r="C58" s="97">
        <v>395</v>
      </c>
      <c r="D58" s="97">
        <v>387</v>
      </c>
      <c r="E58" s="97">
        <v>316</v>
      </c>
      <c r="F58" s="97">
        <v>88</v>
      </c>
      <c r="G58" s="97">
        <v>382</v>
      </c>
      <c r="H58" s="97">
        <v>190</v>
      </c>
      <c r="I58" s="98"/>
      <c r="J58" s="10">
        <f t="shared" si="3"/>
        <v>2.37</v>
      </c>
      <c r="K58" s="11">
        <v>6</v>
      </c>
      <c r="L58" s="12">
        <f t="shared" si="4"/>
        <v>0.39500000000000002</v>
      </c>
      <c r="M58" s="13">
        <f t="shared" si="5"/>
        <v>395</v>
      </c>
      <c r="N58" s="15"/>
    </row>
    <row r="59" spans="1:14" s="5" customFormat="1" ht="12">
      <c r="A59" s="40" t="s">
        <v>27</v>
      </c>
      <c r="B59" s="40" t="s">
        <v>1533</v>
      </c>
      <c r="C59" s="97">
        <v>489</v>
      </c>
      <c r="D59" s="97">
        <v>477</v>
      </c>
      <c r="E59" s="97">
        <v>388</v>
      </c>
      <c r="F59" s="97">
        <v>91</v>
      </c>
      <c r="G59" s="97">
        <v>481</v>
      </c>
      <c r="H59" s="97">
        <v>233</v>
      </c>
      <c r="I59" s="98"/>
      <c r="J59" s="10">
        <f t="shared" si="3"/>
        <v>2.9340000000000002</v>
      </c>
      <c r="K59" s="11">
        <v>6</v>
      </c>
      <c r="L59" s="12">
        <f t="shared" si="4"/>
        <v>0.48899999999999999</v>
      </c>
      <c r="M59" s="13">
        <f t="shared" si="5"/>
        <v>489</v>
      </c>
      <c r="N59" s="15"/>
    </row>
    <row r="60" spans="1:14" s="5" customFormat="1" ht="12">
      <c r="A60" s="40" t="s">
        <v>27</v>
      </c>
      <c r="B60" s="40" t="s">
        <v>1534</v>
      </c>
      <c r="C60" s="97">
        <v>1005</v>
      </c>
      <c r="D60" s="97">
        <v>992</v>
      </c>
      <c r="E60" s="97">
        <v>843</v>
      </c>
      <c r="F60" s="97">
        <v>229</v>
      </c>
      <c r="G60" s="97">
        <v>980</v>
      </c>
      <c r="H60" s="97">
        <v>518</v>
      </c>
      <c r="I60" s="98"/>
      <c r="J60" s="10">
        <f t="shared" si="3"/>
        <v>6.0299999999999994</v>
      </c>
      <c r="K60" s="11">
        <v>6</v>
      </c>
      <c r="L60" s="12">
        <f t="shared" si="4"/>
        <v>1.0049999999999999</v>
      </c>
      <c r="M60" s="13">
        <f t="shared" si="5"/>
        <v>1005</v>
      </c>
      <c r="N60" s="15"/>
    </row>
    <row r="61" spans="1:14" s="5" customFormat="1" ht="12">
      <c r="A61" s="40" t="s">
        <v>27</v>
      </c>
      <c r="B61" s="40" t="s">
        <v>1558</v>
      </c>
      <c r="C61" s="97">
        <v>426</v>
      </c>
      <c r="D61" s="97">
        <v>416</v>
      </c>
      <c r="E61" s="97">
        <v>344</v>
      </c>
      <c r="F61" s="97">
        <v>91</v>
      </c>
      <c r="G61" s="97">
        <v>415</v>
      </c>
      <c r="H61" s="97">
        <v>200</v>
      </c>
      <c r="I61" s="98"/>
      <c r="J61" s="10">
        <f t="shared" si="3"/>
        <v>2.556</v>
      </c>
      <c r="K61" s="11">
        <v>6</v>
      </c>
      <c r="L61" s="12">
        <f t="shared" si="4"/>
        <v>0.42599999999999999</v>
      </c>
      <c r="M61" s="13">
        <f t="shared" si="5"/>
        <v>426</v>
      </c>
      <c r="N61" s="15"/>
    </row>
    <row r="62" spans="1:14" s="5" customFormat="1" ht="12">
      <c r="A62" s="40" t="s">
        <v>27</v>
      </c>
      <c r="B62" s="40" t="s">
        <v>1594</v>
      </c>
      <c r="C62" s="97">
        <v>534</v>
      </c>
      <c r="D62" s="97">
        <v>520</v>
      </c>
      <c r="E62" s="97">
        <v>409</v>
      </c>
      <c r="F62" s="97">
        <v>143</v>
      </c>
      <c r="G62" s="97">
        <v>523</v>
      </c>
      <c r="H62" s="97">
        <v>282</v>
      </c>
      <c r="I62" s="98"/>
      <c r="J62" s="10">
        <f t="shared" si="3"/>
        <v>3.2040000000000002</v>
      </c>
      <c r="K62" s="11">
        <v>6</v>
      </c>
      <c r="L62" s="12">
        <f t="shared" si="4"/>
        <v>0.53400000000000003</v>
      </c>
      <c r="M62" s="13">
        <f t="shared" si="5"/>
        <v>534</v>
      </c>
      <c r="N62" s="15"/>
    </row>
    <row r="63" spans="1:14" s="5" customFormat="1" ht="12">
      <c r="A63" s="40" t="s">
        <v>27</v>
      </c>
      <c r="B63" s="40" t="s">
        <v>1854</v>
      </c>
      <c r="C63" s="97">
        <v>319</v>
      </c>
      <c r="D63" s="97">
        <v>308</v>
      </c>
      <c r="E63" s="97">
        <v>253</v>
      </c>
      <c r="F63" s="97">
        <v>61</v>
      </c>
      <c r="G63" s="97">
        <v>312</v>
      </c>
      <c r="H63" s="97">
        <v>145</v>
      </c>
      <c r="I63" s="98"/>
      <c r="J63" s="10">
        <f t="shared" si="3"/>
        <v>1.9140000000000001</v>
      </c>
      <c r="K63" s="11">
        <v>6</v>
      </c>
      <c r="L63" s="12">
        <f t="shared" si="4"/>
        <v>0.31900000000000001</v>
      </c>
      <c r="M63" s="13">
        <f t="shared" si="5"/>
        <v>319</v>
      </c>
      <c r="N63" s="15"/>
    </row>
    <row r="64" spans="1:14" s="5" customFormat="1" ht="12">
      <c r="A64" s="40" t="s">
        <v>388</v>
      </c>
      <c r="B64" s="40" t="s">
        <v>648</v>
      </c>
      <c r="C64" s="97">
        <v>601</v>
      </c>
      <c r="D64" s="97">
        <v>574</v>
      </c>
      <c r="E64" s="97">
        <v>475</v>
      </c>
      <c r="F64" s="97">
        <v>145</v>
      </c>
      <c r="G64" s="97">
        <v>594</v>
      </c>
      <c r="H64" s="97">
        <v>317</v>
      </c>
      <c r="I64" s="98"/>
      <c r="J64" s="10">
        <f t="shared" si="3"/>
        <v>3.6059999999999999</v>
      </c>
      <c r="K64" s="11">
        <v>6</v>
      </c>
      <c r="L64" s="12">
        <f t="shared" si="4"/>
        <v>0.60099999999999998</v>
      </c>
      <c r="M64" s="13">
        <f t="shared" si="5"/>
        <v>601</v>
      </c>
      <c r="N64" s="15"/>
    </row>
    <row r="65" spans="1:16" s="5" customFormat="1" ht="12">
      <c r="A65" s="40" t="s">
        <v>388</v>
      </c>
      <c r="B65" s="40" t="s">
        <v>862</v>
      </c>
      <c r="C65" s="97">
        <v>370</v>
      </c>
      <c r="D65" s="97">
        <v>358</v>
      </c>
      <c r="E65" s="97">
        <v>267</v>
      </c>
      <c r="F65" s="97">
        <v>73</v>
      </c>
      <c r="G65" s="97">
        <v>359</v>
      </c>
      <c r="H65" s="97">
        <v>182</v>
      </c>
      <c r="I65" s="98"/>
      <c r="J65" s="10">
        <f t="shared" si="3"/>
        <v>2.2199999999999998</v>
      </c>
      <c r="K65" s="11">
        <v>6</v>
      </c>
      <c r="L65" s="12">
        <f t="shared" si="4"/>
        <v>0.37</v>
      </c>
      <c r="M65" s="13">
        <f t="shared" si="5"/>
        <v>370</v>
      </c>
      <c r="N65" s="15"/>
    </row>
    <row r="66" spans="1:16" s="5" customFormat="1" ht="12">
      <c r="A66" s="40" t="s">
        <v>388</v>
      </c>
      <c r="B66" s="40" t="s">
        <v>971</v>
      </c>
      <c r="C66" s="97">
        <v>498</v>
      </c>
      <c r="D66" s="97">
        <v>483</v>
      </c>
      <c r="E66" s="97">
        <v>389</v>
      </c>
      <c r="F66" s="97">
        <v>115</v>
      </c>
      <c r="G66" s="97">
        <v>479</v>
      </c>
      <c r="H66" s="97">
        <v>262</v>
      </c>
      <c r="I66" s="98"/>
      <c r="J66" s="10">
        <f t="shared" si="3"/>
        <v>2.988</v>
      </c>
      <c r="K66" s="11">
        <v>6</v>
      </c>
      <c r="L66" s="12">
        <f t="shared" si="4"/>
        <v>0.498</v>
      </c>
      <c r="M66" s="13">
        <f t="shared" si="5"/>
        <v>498</v>
      </c>
      <c r="N66" s="15"/>
    </row>
    <row r="67" spans="1:16" s="5" customFormat="1" ht="12">
      <c r="A67" s="40" t="s">
        <v>59</v>
      </c>
      <c r="B67" s="40" t="s">
        <v>140</v>
      </c>
      <c r="C67" s="97">
        <v>352</v>
      </c>
      <c r="D67" s="97">
        <v>333</v>
      </c>
      <c r="E67" s="97">
        <v>278</v>
      </c>
      <c r="F67" s="97">
        <v>59</v>
      </c>
      <c r="G67" s="97">
        <v>339</v>
      </c>
      <c r="H67" s="97">
        <v>171</v>
      </c>
      <c r="I67" s="98"/>
      <c r="J67" s="10">
        <f t="shared" ref="J67:J84" si="6">+K67*L67</f>
        <v>2.1120000000000001</v>
      </c>
      <c r="K67" s="11">
        <v>6</v>
      </c>
      <c r="L67" s="12">
        <f t="shared" ref="L67:L84" si="7">+M67/1000</f>
        <v>0.35199999999999998</v>
      </c>
      <c r="M67" s="13">
        <f t="shared" ref="M67:M84" si="8">+C67</f>
        <v>352</v>
      </c>
      <c r="N67" s="15"/>
    </row>
    <row r="68" spans="1:16" s="5" customFormat="1" ht="12">
      <c r="A68" s="40" t="s">
        <v>59</v>
      </c>
      <c r="B68" s="40" t="s">
        <v>396</v>
      </c>
      <c r="C68" s="97">
        <v>586</v>
      </c>
      <c r="D68" s="97">
        <v>581</v>
      </c>
      <c r="E68" s="97">
        <v>465</v>
      </c>
      <c r="F68" s="97">
        <v>128</v>
      </c>
      <c r="G68" s="97">
        <v>568</v>
      </c>
      <c r="H68" s="97">
        <v>301</v>
      </c>
      <c r="I68" s="98"/>
      <c r="J68" s="10">
        <f t="shared" si="6"/>
        <v>3.516</v>
      </c>
      <c r="K68" s="11">
        <v>6</v>
      </c>
      <c r="L68" s="12">
        <f t="shared" si="7"/>
        <v>0.58599999999999997</v>
      </c>
      <c r="M68" s="13">
        <f t="shared" si="8"/>
        <v>586</v>
      </c>
      <c r="N68" s="15"/>
    </row>
    <row r="69" spans="1:16" s="5" customFormat="1" ht="12">
      <c r="A69" s="40" t="s">
        <v>59</v>
      </c>
      <c r="B69" s="40" t="s">
        <v>601</v>
      </c>
      <c r="C69" s="97">
        <v>301</v>
      </c>
      <c r="D69" s="97">
        <v>297</v>
      </c>
      <c r="E69" s="97">
        <v>231</v>
      </c>
      <c r="F69" s="97">
        <v>54</v>
      </c>
      <c r="G69" s="97">
        <v>286</v>
      </c>
      <c r="H69" s="97">
        <v>139</v>
      </c>
      <c r="I69" s="98"/>
      <c r="J69" s="10">
        <f t="shared" si="6"/>
        <v>1.806</v>
      </c>
      <c r="K69" s="11">
        <v>6</v>
      </c>
      <c r="L69" s="12">
        <f t="shared" si="7"/>
        <v>0.30099999999999999</v>
      </c>
      <c r="M69" s="13">
        <f t="shared" si="8"/>
        <v>301</v>
      </c>
      <c r="N69" s="15"/>
    </row>
    <row r="70" spans="1:16" s="5" customFormat="1" ht="12">
      <c r="A70" s="40" t="s">
        <v>59</v>
      </c>
      <c r="B70" s="40" t="s">
        <v>716</v>
      </c>
      <c r="C70" s="97">
        <v>494</v>
      </c>
      <c r="D70" s="97">
        <v>485</v>
      </c>
      <c r="E70" s="97">
        <v>387</v>
      </c>
      <c r="F70" s="97">
        <v>96</v>
      </c>
      <c r="G70" s="97">
        <v>481</v>
      </c>
      <c r="H70" s="97">
        <v>226</v>
      </c>
      <c r="I70" s="98"/>
      <c r="J70" s="10">
        <f t="shared" si="6"/>
        <v>2.964</v>
      </c>
      <c r="K70" s="11">
        <v>6</v>
      </c>
      <c r="L70" s="12">
        <f t="shared" si="7"/>
        <v>0.49399999999999999</v>
      </c>
      <c r="M70" s="13">
        <f t="shared" si="8"/>
        <v>494</v>
      </c>
      <c r="N70" s="15"/>
    </row>
    <row r="71" spans="1:16" s="5" customFormat="1" ht="12">
      <c r="A71" s="40" t="s">
        <v>59</v>
      </c>
      <c r="B71" s="40" t="s">
        <v>963</v>
      </c>
      <c r="C71" s="97">
        <v>420</v>
      </c>
      <c r="D71" s="97">
        <v>409</v>
      </c>
      <c r="E71" s="97">
        <v>334</v>
      </c>
      <c r="F71" s="97">
        <v>76</v>
      </c>
      <c r="G71" s="97">
        <v>409</v>
      </c>
      <c r="H71" s="97">
        <v>187</v>
      </c>
      <c r="I71" s="98"/>
      <c r="J71" s="10">
        <f t="shared" si="6"/>
        <v>2.52</v>
      </c>
      <c r="K71" s="11">
        <v>6</v>
      </c>
      <c r="L71" s="12">
        <f t="shared" si="7"/>
        <v>0.42</v>
      </c>
      <c r="M71" s="13">
        <f t="shared" si="8"/>
        <v>420</v>
      </c>
      <c r="N71" s="15"/>
    </row>
    <row r="72" spans="1:16" s="5" customFormat="1" ht="12">
      <c r="A72" s="40" t="s">
        <v>59</v>
      </c>
      <c r="B72" s="40" t="s">
        <v>970</v>
      </c>
      <c r="C72" s="97">
        <v>385</v>
      </c>
      <c r="D72" s="97">
        <v>367</v>
      </c>
      <c r="E72" s="97">
        <v>297</v>
      </c>
      <c r="F72" s="97">
        <v>68</v>
      </c>
      <c r="G72" s="97">
        <v>375</v>
      </c>
      <c r="H72" s="97">
        <v>187</v>
      </c>
      <c r="I72" s="98"/>
      <c r="J72" s="10">
        <f t="shared" si="6"/>
        <v>2.31</v>
      </c>
      <c r="K72" s="11">
        <v>6</v>
      </c>
      <c r="L72" s="12">
        <f t="shared" si="7"/>
        <v>0.38500000000000001</v>
      </c>
      <c r="M72" s="13">
        <f t="shared" si="8"/>
        <v>385</v>
      </c>
      <c r="N72" s="15"/>
    </row>
    <row r="73" spans="1:16" s="5" customFormat="1" ht="12">
      <c r="A73" s="40" t="s">
        <v>59</v>
      </c>
      <c r="B73" s="40" t="s">
        <v>973</v>
      </c>
      <c r="C73" s="97">
        <v>390</v>
      </c>
      <c r="D73" s="97">
        <v>371</v>
      </c>
      <c r="E73" s="97">
        <v>277</v>
      </c>
      <c r="F73" s="97">
        <v>69</v>
      </c>
      <c r="G73" s="97">
        <v>375</v>
      </c>
      <c r="H73" s="97">
        <v>155</v>
      </c>
      <c r="I73" s="98"/>
      <c r="J73" s="10">
        <f t="shared" si="6"/>
        <v>2.34</v>
      </c>
      <c r="K73" s="11">
        <v>6</v>
      </c>
      <c r="L73" s="12">
        <f t="shared" si="7"/>
        <v>0.39</v>
      </c>
      <c r="M73" s="13">
        <f t="shared" si="8"/>
        <v>390</v>
      </c>
      <c r="N73" s="15"/>
    </row>
    <row r="74" spans="1:16" s="5" customFormat="1" ht="12">
      <c r="A74" s="40" t="s">
        <v>59</v>
      </c>
      <c r="B74" s="40" t="s">
        <v>1026</v>
      </c>
      <c r="C74" s="97">
        <v>326</v>
      </c>
      <c r="D74" s="97">
        <v>314</v>
      </c>
      <c r="E74" s="97">
        <v>261</v>
      </c>
      <c r="F74" s="97">
        <v>45</v>
      </c>
      <c r="G74" s="97">
        <v>312</v>
      </c>
      <c r="H74" s="97">
        <v>132</v>
      </c>
      <c r="I74" s="98"/>
      <c r="J74" s="10">
        <f t="shared" si="6"/>
        <v>1.956</v>
      </c>
      <c r="K74" s="11">
        <v>6</v>
      </c>
      <c r="L74" s="12">
        <f t="shared" si="7"/>
        <v>0.32600000000000001</v>
      </c>
      <c r="M74" s="13">
        <f t="shared" si="8"/>
        <v>326</v>
      </c>
      <c r="N74" s="15"/>
    </row>
    <row r="75" spans="1:16" s="5" customFormat="1" ht="12">
      <c r="A75" s="40" t="s">
        <v>59</v>
      </c>
      <c r="B75" s="40" t="s">
        <v>1044</v>
      </c>
      <c r="C75" s="97">
        <v>310</v>
      </c>
      <c r="D75" s="97">
        <v>298</v>
      </c>
      <c r="E75" s="97">
        <v>226</v>
      </c>
      <c r="F75" s="97">
        <v>65</v>
      </c>
      <c r="G75" s="97">
        <v>302</v>
      </c>
      <c r="H75" s="97">
        <v>134</v>
      </c>
      <c r="I75" s="98"/>
      <c r="J75" s="10">
        <f t="shared" si="6"/>
        <v>1.8599999999999999</v>
      </c>
      <c r="K75" s="11">
        <v>6</v>
      </c>
      <c r="L75" s="12">
        <f t="shared" si="7"/>
        <v>0.31</v>
      </c>
      <c r="M75" s="13">
        <f t="shared" si="8"/>
        <v>310</v>
      </c>
      <c r="N75" s="15"/>
    </row>
    <row r="76" spans="1:16" s="5" customFormat="1" ht="12">
      <c r="A76" s="40" t="s">
        <v>59</v>
      </c>
      <c r="B76" s="40" t="s">
        <v>1220</v>
      </c>
      <c r="C76" s="97">
        <v>590</v>
      </c>
      <c r="D76" s="97">
        <v>574</v>
      </c>
      <c r="E76" s="97">
        <v>466</v>
      </c>
      <c r="F76" s="97">
        <v>111</v>
      </c>
      <c r="G76" s="97">
        <v>571</v>
      </c>
      <c r="H76" s="97">
        <v>269</v>
      </c>
      <c r="I76" s="98"/>
      <c r="J76" s="10">
        <f t="shared" si="6"/>
        <v>3.54</v>
      </c>
      <c r="K76" s="11">
        <v>6</v>
      </c>
      <c r="L76" s="12">
        <f t="shared" si="7"/>
        <v>0.59</v>
      </c>
      <c r="M76" s="13">
        <f t="shared" si="8"/>
        <v>590</v>
      </c>
      <c r="N76" s="15"/>
    </row>
    <row r="77" spans="1:16" s="2" customFormat="1" ht="12">
      <c r="A77" s="40" t="s">
        <v>59</v>
      </c>
      <c r="B77" s="40" t="s">
        <v>1268</v>
      </c>
      <c r="C77" s="97">
        <v>454</v>
      </c>
      <c r="D77" s="97">
        <v>437</v>
      </c>
      <c r="E77" s="97">
        <v>343</v>
      </c>
      <c r="F77" s="97">
        <v>78</v>
      </c>
      <c r="G77" s="97">
        <v>441</v>
      </c>
      <c r="H77" s="97">
        <v>197</v>
      </c>
      <c r="I77" s="98"/>
      <c r="J77" s="10">
        <f t="shared" si="6"/>
        <v>2.7240000000000002</v>
      </c>
      <c r="K77" s="11">
        <v>6</v>
      </c>
      <c r="L77" s="12">
        <f t="shared" si="7"/>
        <v>0.45400000000000001</v>
      </c>
      <c r="M77" s="13">
        <f t="shared" si="8"/>
        <v>454</v>
      </c>
      <c r="N77" s="15"/>
      <c r="O77" s="5"/>
      <c r="P77" s="5"/>
    </row>
    <row r="78" spans="1:16" s="2" customFormat="1" ht="12">
      <c r="A78" s="40" t="s">
        <v>59</v>
      </c>
      <c r="B78" s="40" t="s">
        <v>1356</v>
      </c>
      <c r="C78" s="97">
        <v>435</v>
      </c>
      <c r="D78" s="97">
        <v>419</v>
      </c>
      <c r="E78" s="97">
        <v>330</v>
      </c>
      <c r="F78" s="97">
        <v>103</v>
      </c>
      <c r="G78" s="97">
        <v>417</v>
      </c>
      <c r="H78" s="97">
        <v>229</v>
      </c>
      <c r="I78" s="98"/>
      <c r="J78" s="10">
        <f t="shared" si="6"/>
        <v>2.61</v>
      </c>
      <c r="K78" s="11">
        <v>6</v>
      </c>
      <c r="L78" s="12">
        <f t="shared" si="7"/>
        <v>0.435</v>
      </c>
      <c r="M78" s="13">
        <f t="shared" si="8"/>
        <v>435</v>
      </c>
      <c r="N78" s="15"/>
      <c r="O78" s="5"/>
      <c r="P78" s="5"/>
    </row>
    <row r="79" spans="1:16" s="5" customFormat="1" ht="12">
      <c r="A79" s="40" t="s">
        <v>59</v>
      </c>
      <c r="B79" s="40" t="s">
        <v>1371</v>
      </c>
      <c r="C79" s="97">
        <v>904</v>
      </c>
      <c r="D79" s="97">
        <v>880</v>
      </c>
      <c r="E79" s="97">
        <v>728</v>
      </c>
      <c r="F79" s="97">
        <v>178</v>
      </c>
      <c r="G79" s="97">
        <v>884</v>
      </c>
      <c r="H79" s="97">
        <v>452</v>
      </c>
      <c r="I79" s="98"/>
      <c r="J79" s="10">
        <f t="shared" si="6"/>
        <v>5.4240000000000004</v>
      </c>
      <c r="K79" s="11">
        <v>6</v>
      </c>
      <c r="L79" s="12">
        <f t="shared" si="7"/>
        <v>0.90400000000000003</v>
      </c>
      <c r="M79" s="13">
        <f t="shared" si="8"/>
        <v>904</v>
      </c>
      <c r="N79" s="15"/>
    </row>
    <row r="80" spans="1:16" s="5" customFormat="1" ht="12">
      <c r="A80" s="40" t="s">
        <v>59</v>
      </c>
      <c r="B80" s="40" t="s">
        <v>1444</v>
      </c>
      <c r="C80" s="97">
        <v>741</v>
      </c>
      <c r="D80" s="97">
        <v>718</v>
      </c>
      <c r="E80" s="97">
        <v>594</v>
      </c>
      <c r="F80" s="97">
        <v>134</v>
      </c>
      <c r="G80" s="97">
        <v>729</v>
      </c>
      <c r="H80" s="97">
        <v>367</v>
      </c>
      <c r="I80" s="98"/>
      <c r="J80" s="10">
        <f t="shared" si="6"/>
        <v>4.4459999999999997</v>
      </c>
      <c r="K80" s="11">
        <v>6</v>
      </c>
      <c r="L80" s="12">
        <f t="shared" si="7"/>
        <v>0.74099999999999999</v>
      </c>
      <c r="M80" s="13">
        <f t="shared" si="8"/>
        <v>741</v>
      </c>
      <c r="N80" s="15"/>
    </row>
    <row r="81" spans="1:16" s="5" customFormat="1" ht="12">
      <c r="A81" s="40" t="s">
        <v>59</v>
      </c>
      <c r="B81" s="40" t="s">
        <v>1564</v>
      </c>
      <c r="C81" s="97">
        <v>362</v>
      </c>
      <c r="D81" s="97">
        <v>357</v>
      </c>
      <c r="E81" s="97">
        <v>289</v>
      </c>
      <c r="F81" s="97">
        <v>83</v>
      </c>
      <c r="G81" s="97">
        <v>348</v>
      </c>
      <c r="H81" s="97">
        <v>185</v>
      </c>
      <c r="I81" s="98"/>
      <c r="J81" s="10">
        <f t="shared" si="6"/>
        <v>2.1719999999999997</v>
      </c>
      <c r="K81" s="11">
        <v>6</v>
      </c>
      <c r="L81" s="12">
        <f t="shared" si="7"/>
        <v>0.36199999999999999</v>
      </c>
      <c r="M81" s="13">
        <f t="shared" si="8"/>
        <v>362</v>
      </c>
      <c r="N81" s="15"/>
    </row>
    <row r="82" spans="1:16" s="5" customFormat="1" ht="12">
      <c r="A82" s="40" t="s">
        <v>59</v>
      </c>
      <c r="B82" s="40" t="s">
        <v>1656</v>
      </c>
      <c r="C82" s="97">
        <v>413</v>
      </c>
      <c r="D82" s="97">
        <v>398</v>
      </c>
      <c r="E82" s="97">
        <v>308</v>
      </c>
      <c r="F82" s="97">
        <v>90</v>
      </c>
      <c r="G82" s="97">
        <v>406</v>
      </c>
      <c r="H82" s="97">
        <v>184</v>
      </c>
      <c r="I82" s="98"/>
      <c r="J82" s="10">
        <f t="shared" si="6"/>
        <v>2.4779999999999998</v>
      </c>
      <c r="K82" s="11">
        <v>6</v>
      </c>
      <c r="L82" s="12">
        <f t="shared" si="7"/>
        <v>0.41299999999999998</v>
      </c>
      <c r="M82" s="13">
        <f t="shared" si="8"/>
        <v>413</v>
      </c>
      <c r="N82" s="15"/>
    </row>
    <row r="83" spans="1:16" s="5" customFormat="1" ht="12">
      <c r="A83" s="40" t="s">
        <v>59</v>
      </c>
      <c r="B83" s="40" t="s">
        <v>1762</v>
      </c>
      <c r="C83" s="97">
        <v>342</v>
      </c>
      <c r="D83" s="97">
        <v>327</v>
      </c>
      <c r="E83" s="97">
        <v>246</v>
      </c>
      <c r="F83" s="97">
        <v>64</v>
      </c>
      <c r="G83" s="97">
        <v>332</v>
      </c>
      <c r="H83" s="97">
        <v>143</v>
      </c>
      <c r="I83" s="98"/>
      <c r="J83" s="10">
        <f t="shared" si="6"/>
        <v>2.052</v>
      </c>
      <c r="K83" s="11">
        <v>6</v>
      </c>
      <c r="L83" s="12">
        <f t="shared" si="7"/>
        <v>0.34200000000000003</v>
      </c>
      <c r="M83" s="13">
        <f t="shared" si="8"/>
        <v>342</v>
      </c>
      <c r="N83" s="25"/>
    </row>
    <row r="84" spans="1:16" s="5" customFormat="1" ht="12">
      <c r="A84" s="40" t="s">
        <v>59</v>
      </c>
      <c r="B84" s="40" t="s">
        <v>1881</v>
      </c>
      <c r="C84" s="97">
        <v>846</v>
      </c>
      <c r="D84" s="97">
        <v>823</v>
      </c>
      <c r="E84" s="97">
        <v>658</v>
      </c>
      <c r="F84" s="97">
        <v>162</v>
      </c>
      <c r="G84" s="97">
        <v>824</v>
      </c>
      <c r="H84" s="97">
        <v>394</v>
      </c>
      <c r="I84" s="98"/>
      <c r="J84" s="10">
        <f t="shared" si="6"/>
        <v>5.0759999999999996</v>
      </c>
      <c r="K84" s="11">
        <v>6</v>
      </c>
      <c r="L84" s="12">
        <f t="shared" si="7"/>
        <v>0.84599999999999997</v>
      </c>
      <c r="M84" s="13">
        <f t="shared" si="8"/>
        <v>846</v>
      </c>
      <c r="N84" s="15"/>
    </row>
    <row r="85" spans="1:16" s="5" customFormat="1" ht="12">
      <c r="A85" s="64" t="s">
        <v>43</v>
      </c>
      <c r="B85" s="64" t="s">
        <v>735</v>
      </c>
      <c r="C85" s="19">
        <v>421</v>
      </c>
      <c r="D85" s="19">
        <v>408</v>
      </c>
      <c r="E85" s="19">
        <v>325</v>
      </c>
      <c r="F85" s="19">
        <v>95</v>
      </c>
      <c r="G85" s="19">
        <v>412</v>
      </c>
      <c r="H85" s="19">
        <v>236</v>
      </c>
      <c r="I85" s="101"/>
      <c r="J85" s="17">
        <v>2.5259999999999998</v>
      </c>
      <c r="K85" s="17">
        <v>6</v>
      </c>
      <c r="L85" s="18">
        <v>0.42099999999999999</v>
      </c>
      <c r="M85" s="19">
        <v>421</v>
      </c>
      <c r="N85" s="22"/>
      <c r="O85" s="9"/>
      <c r="P85" s="9"/>
    </row>
    <row r="86" spans="1:16" s="5" customFormat="1" ht="12">
      <c r="A86" s="65" t="s">
        <v>43</v>
      </c>
      <c r="B86" s="65" t="s">
        <v>1091</v>
      </c>
      <c r="C86" s="97">
        <v>1065</v>
      </c>
      <c r="D86" s="97">
        <v>1040</v>
      </c>
      <c r="E86" s="97">
        <v>856</v>
      </c>
      <c r="F86" s="97">
        <v>280</v>
      </c>
      <c r="G86" s="97">
        <v>1042</v>
      </c>
      <c r="H86" s="97">
        <v>661</v>
      </c>
      <c r="I86" s="102"/>
      <c r="J86" s="10">
        <f t="shared" ref="J86:J117" si="9">+K86*L86</f>
        <v>6.39</v>
      </c>
      <c r="K86" s="36">
        <v>6</v>
      </c>
      <c r="L86" s="37">
        <f t="shared" ref="L86:L117" si="10">+M86/1000</f>
        <v>1.0649999999999999</v>
      </c>
      <c r="M86" s="38">
        <f t="shared" ref="M86:M117" si="11">+C86</f>
        <v>1065</v>
      </c>
      <c r="N86" s="35"/>
      <c r="O86" s="2"/>
      <c r="P86" s="2"/>
    </row>
    <row r="87" spans="1:16" s="5" customFormat="1" ht="12">
      <c r="A87" s="40" t="s">
        <v>81</v>
      </c>
      <c r="B87" s="40" t="s">
        <v>314</v>
      </c>
      <c r="C87" s="97">
        <v>411</v>
      </c>
      <c r="D87" s="97">
        <v>400</v>
      </c>
      <c r="E87" s="97">
        <v>294</v>
      </c>
      <c r="F87" s="97">
        <v>130</v>
      </c>
      <c r="G87" s="97">
        <v>387</v>
      </c>
      <c r="H87" s="97">
        <v>235</v>
      </c>
      <c r="I87" s="98"/>
      <c r="J87" s="10">
        <f t="shared" si="9"/>
        <v>2.4659999999999997</v>
      </c>
      <c r="K87" s="11">
        <v>6</v>
      </c>
      <c r="L87" s="12">
        <f t="shared" si="10"/>
        <v>0.41099999999999998</v>
      </c>
      <c r="M87" s="13">
        <f t="shared" si="11"/>
        <v>411</v>
      </c>
      <c r="N87" s="15"/>
    </row>
    <row r="88" spans="1:16" s="5" customFormat="1" ht="12">
      <c r="A88" s="40" t="s">
        <v>81</v>
      </c>
      <c r="B88" s="40" t="s">
        <v>397</v>
      </c>
      <c r="C88" s="97">
        <v>2149</v>
      </c>
      <c r="D88" s="97">
        <v>2103</v>
      </c>
      <c r="E88" s="97">
        <v>1737</v>
      </c>
      <c r="F88" s="97">
        <v>539</v>
      </c>
      <c r="G88" s="97">
        <v>2085</v>
      </c>
      <c r="H88" s="97">
        <v>1208</v>
      </c>
      <c r="I88" s="98"/>
      <c r="J88" s="10">
        <f t="shared" si="9"/>
        <v>12.894</v>
      </c>
      <c r="K88" s="11">
        <v>6</v>
      </c>
      <c r="L88" s="12">
        <f t="shared" si="10"/>
        <v>2.149</v>
      </c>
      <c r="M88" s="13">
        <f t="shared" si="11"/>
        <v>2149</v>
      </c>
      <c r="N88" s="15"/>
    </row>
    <row r="89" spans="1:16" s="5" customFormat="1" ht="12">
      <c r="A89" s="40" t="s">
        <v>81</v>
      </c>
      <c r="B89" s="40" t="s">
        <v>554</v>
      </c>
      <c r="C89" s="97">
        <v>521</v>
      </c>
      <c r="D89" s="97">
        <v>517</v>
      </c>
      <c r="E89" s="97">
        <v>403</v>
      </c>
      <c r="F89" s="97">
        <v>126</v>
      </c>
      <c r="G89" s="97">
        <v>505</v>
      </c>
      <c r="H89" s="97">
        <v>267</v>
      </c>
      <c r="I89" s="98"/>
      <c r="J89" s="10">
        <f t="shared" si="9"/>
        <v>3.1260000000000003</v>
      </c>
      <c r="K89" s="11">
        <v>6</v>
      </c>
      <c r="L89" s="12">
        <f t="shared" si="10"/>
        <v>0.52100000000000002</v>
      </c>
      <c r="M89" s="13">
        <f t="shared" si="11"/>
        <v>521</v>
      </c>
      <c r="N89" s="15"/>
    </row>
    <row r="90" spans="1:16" s="5" customFormat="1" ht="12">
      <c r="A90" s="40" t="s">
        <v>81</v>
      </c>
      <c r="B90" s="40" t="s">
        <v>1209</v>
      </c>
      <c r="C90" s="97">
        <v>342</v>
      </c>
      <c r="D90" s="97">
        <v>330</v>
      </c>
      <c r="E90" s="97">
        <v>254</v>
      </c>
      <c r="F90" s="97">
        <v>84</v>
      </c>
      <c r="G90" s="97">
        <v>341</v>
      </c>
      <c r="H90" s="97">
        <v>171</v>
      </c>
      <c r="I90" s="98"/>
      <c r="J90" s="10">
        <f t="shared" si="9"/>
        <v>2.052</v>
      </c>
      <c r="K90" s="11">
        <v>6</v>
      </c>
      <c r="L90" s="12">
        <f t="shared" si="10"/>
        <v>0.34200000000000003</v>
      </c>
      <c r="M90" s="13">
        <f t="shared" si="11"/>
        <v>342</v>
      </c>
      <c r="N90" s="15"/>
    </row>
    <row r="91" spans="1:16" s="5" customFormat="1" ht="12">
      <c r="A91" s="40" t="s">
        <v>81</v>
      </c>
      <c r="B91" s="40" t="s">
        <v>1318</v>
      </c>
      <c r="C91" s="97">
        <v>679</v>
      </c>
      <c r="D91" s="97">
        <v>665</v>
      </c>
      <c r="E91" s="97">
        <v>537</v>
      </c>
      <c r="F91" s="97">
        <v>164</v>
      </c>
      <c r="G91" s="97">
        <v>662</v>
      </c>
      <c r="H91" s="97">
        <v>340</v>
      </c>
      <c r="I91" s="98"/>
      <c r="J91" s="10">
        <f t="shared" si="9"/>
        <v>4.0739999999999998</v>
      </c>
      <c r="K91" s="11">
        <v>6</v>
      </c>
      <c r="L91" s="12">
        <f t="shared" si="10"/>
        <v>0.67900000000000005</v>
      </c>
      <c r="M91" s="13">
        <f t="shared" si="11"/>
        <v>679</v>
      </c>
      <c r="N91" s="15"/>
    </row>
    <row r="92" spans="1:16" s="5" customFormat="1" ht="12">
      <c r="A92" s="40" t="s">
        <v>81</v>
      </c>
      <c r="B92" s="40" t="s">
        <v>1896</v>
      </c>
      <c r="C92" s="97">
        <v>402</v>
      </c>
      <c r="D92" s="97">
        <v>392</v>
      </c>
      <c r="E92" s="97">
        <v>318</v>
      </c>
      <c r="F92" s="97">
        <v>72</v>
      </c>
      <c r="G92" s="97">
        <v>387</v>
      </c>
      <c r="H92" s="97">
        <v>183</v>
      </c>
      <c r="I92" s="98"/>
      <c r="J92" s="10">
        <f t="shared" si="9"/>
        <v>2.4119999999999999</v>
      </c>
      <c r="K92" s="11">
        <v>6</v>
      </c>
      <c r="L92" s="12">
        <f t="shared" si="10"/>
        <v>0.40200000000000002</v>
      </c>
      <c r="M92" s="13">
        <f t="shared" si="11"/>
        <v>402</v>
      </c>
      <c r="N92" s="15"/>
    </row>
    <row r="93" spans="1:16" s="5" customFormat="1" ht="12">
      <c r="A93" s="40" t="s">
        <v>355</v>
      </c>
      <c r="B93" s="40" t="s">
        <v>356</v>
      </c>
      <c r="C93" s="97">
        <v>328</v>
      </c>
      <c r="D93" s="97">
        <v>318</v>
      </c>
      <c r="E93" s="97">
        <v>219</v>
      </c>
      <c r="F93" s="97">
        <v>56</v>
      </c>
      <c r="G93" s="97">
        <v>316</v>
      </c>
      <c r="H93" s="97">
        <v>139</v>
      </c>
      <c r="I93" s="98"/>
      <c r="J93" s="10">
        <f t="shared" si="9"/>
        <v>1.968</v>
      </c>
      <c r="K93" s="11">
        <v>6</v>
      </c>
      <c r="L93" s="12">
        <f t="shared" si="10"/>
        <v>0.32800000000000001</v>
      </c>
      <c r="M93" s="13">
        <f t="shared" si="11"/>
        <v>328</v>
      </c>
      <c r="N93" s="15"/>
    </row>
    <row r="94" spans="1:16" s="5" customFormat="1" ht="12">
      <c r="A94" s="40" t="s">
        <v>355</v>
      </c>
      <c r="B94" s="40" t="s">
        <v>372</v>
      </c>
      <c r="C94" s="97">
        <v>434</v>
      </c>
      <c r="D94" s="97">
        <v>422</v>
      </c>
      <c r="E94" s="97">
        <v>308</v>
      </c>
      <c r="F94" s="97">
        <v>95</v>
      </c>
      <c r="G94" s="97">
        <v>408</v>
      </c>
      <c r="H94" s="97">
        <v>222</v>
      </c>
      <c r="I94" s="98"/>
      <c r="J94" s="10">
        <f t="shared" si="9"/>
        <v>2.6040000000000001</v>
      </c>
      <c r="K94" s="11">
        <v>6</v>
      </c>
      <c r="L94" s="12">
        <f t="shared" si="10"/>
        <v>0.434</v>
      </c>
      <c r="M94" s="13">
        <f t="shared" si="11"/>
        <v>434</v>
      </c>
      <c r="N94" s="15"/>
    </row>
    <row r="95" spans="1:16" s="5" customFormat="1" ht="12">
      <c r="A95" s="40" t="s">
        <v>355</v>
      </c>
      <c r="B95" s="40" t="s">
        <v>788</v>
      </c>
      <c r="C95" s="97">
        <v>886</v>
      </c>
      <c r="D95" s="97">
        <v>875</v>
      </c>
      <c r="E95" s="97">
        <v>705</v>
      </c>
      <c r="F95" s="97">
        <v>180</v>
      </c>
      <c r="G95" s="97">
        <v>861</v>
      </c>
      <c r="H95" s="97">
        <v>448</v>
      </c>
      <c r="I95" s="98"/>
      <c r="J95" s="10">
        <f t="shared" si="9"/>
        <v>5.3159999999999998</v>
      </c>
      <c r="K95" s="11">
        <v>6</v>
      </c>
      <c r="L95" s="12">
        <f t="shared" si="10"/>
        <v>0.88600000000000001</v>
      </c>
      <c r="M95" s="13">
        <f t="shared" si="11"/>
        <v>886</v>
      </c>
      <c r="N95" s="15"/>
    </row>
    <row r="96" spans="1:16" s="1" customFormat="1" ht="12">
      <c r="A96" s="40" t="s">
        <v>355</v>
      </c>
      <c r="B96" s="40" t="s">
        <v>1045</v>
      </c>
      <c r="C96" s="97">
        <v>465</v>
      </c>
      <c r="D96" s="97">
        <v>455</v>
      </c>
      <c r="E96" s="97">
        <v>361</v>
      </c>
      <c r="F96" s="97">
        <v>103</v>
      </c>
      <c r="G96" s="97">
        <v>456</v>
      </c>
      <c r="H96" s="97">
        <v>237</v>
      </c>
      <c r="I96" s="98"/>
      <c r="J96" s="10">
        <f t="shared" si="9"/>
        <v>2.79</v>
      </c>
      <c r="K96" s="11">
        <v>6</v>
      </c>
      <c r="L96" s="12">
        <f t="shared" si="10"/>
        <v>0.46500000000000002</v>
      </c>
      <c r="M96" s="13">
        <f t="shared" si="11"/>
        <v>465</v>
      </c>
      <c r="N96" s="15"/>
      <c r="O96" s="5"/>
      <c r="P96" s="5"/>
    </row>
    <row r="97" spans="1:16" s="1" customFormat="1" ht="12">
      <c r="A97" s="40" t="s">
        <v>355</v>
      </c>
      <c r="B97" s="40" t="s">
        <v>1076</v>
      </c>
      <c r="C97" s="97">
        <v>539</v>
      </c>
      <c r="D97" s="97">
        <v>522</v>
      </c>
      <c r="E97" s="97">
        <v>448</v>
      </c>
      <c r="F97" s="97">
        <v>115</v>
      </c>
      <c r="G97" s="97">
        <v>521</v>
      </c>
      <c r="H97" s="97">
        <v>272</v>
      </c>
      <c r="I97" s="98"/>
      <c r="J97" s="10">
        <f t="shared" si="9"/>
        <v>3.234</v>
      </c>
      <c r="K97" s="11">
        <v>6</v>
      </c>
      <c r="L97" s="12">
        <f t="shared" si="10"/>
        <v>0.53900000000000003</v>
      </c>
      <c r="M97" s="13">
        <f t="shared" si="11"/>
        <v>539</v>
      </c>
      <c r="N97" s="15"/>
      <c r="O97" s="5"/>
      <c r="P97" s="5"/>
    </row>
    <row r="98" spans="1:16" s="5" customFormat="1" ht="12">
      <c r="A98" s="40" t="s">
        <v>355</v>
      </c>
      <c r="B98" s="40" t="s">
        <v>1077</v>
      </c>
      <c r="C98" s="97">
        <v>333</v>
      </c>
      <c r="D98" s="97">
        <v>323</v>
      </c>
      <c r="E98" s="97">
        <v>263</v>
      </c>
      <c r="F98" s="97">
        <v>79</v>
      </c>
      <c r="G98" s="97">
        <v>324</v>
      </c>
      <c r="H98" s="97">
        <v>171</v>
      </c>
      <c r="I98" s="98"/>
      <c r="J98" s="10">
        <f t="shared" si="9"/>
        <v>1.9980000000000002</v>
      </c>
      <c r="K98" s="11">
        <v>6</v>
      </c>
      <c r="L98" s="12">
        <f t="shared" si="10"/>
        <v>0.33300000000000002</v>
      </c>
      <c r="M98" s="13">
        <f t="shared" si="11"/>
        <v>333</v>
      </c>
      <c r="N98" s="15"/>
    </row>
    <row r="99" spans="1:16" s="5" customFormat="1" ht="12">
      <c r="A99" s="40" t="s">
        <v>355</v>
      </c>
      <c r="B99" s="40" t="s">
        <v>1331</v>
      </c>
      <c r="C99" s="97">
        <v>694</v>
      </c>
      <c r="D99" s="97">
        <v>662</v>
      </c>
      <c r="E99" s="97">
        <v>521</v>
      </c>
      <c r="F99" s="97">
        <v>168</v>
      </c>
      <c r="G99" s="97">
        <v>668</v>
      </c>
      <c r="H99" s="97">
        <v>341</v>
      </c>
      <c r="I99" s="98"/>
      <c r="J99" s="10">
        <f t="shared" si="9"/>
        <v>4.1639999999999997</v>
      </c>
      <c r="K99" s="11">
        <v>6</v>
      </c>
      <c r="L99" s="12">
        <f t="shared" si="10"/>
        <v>0.69399999999999995</v>
      </c>
      <c r="M99" s="13">
        <f t="shared" si="11"/>
        <v>694</v>
      </c>
      <c r="N99" s="15"/>
    </row>
    <row r="100" spans="1:16" s="5" customFormat="1" ht="12">
      <c r="A100" s="40" t="s">
        <v>355</v>
      </c>
      <c r="B100" s="40" t="s">
        <v>1382</v>
      </c>
      <c r="C100" s="97">
        <v>576</v>
      </c>
      <c r="D100" s="97">
        <v>560</v>
      </c>
      <c r="E100" s="97">
        <v>467</v>
      </c>
      <c r="F100" s="97">
        <v>114</v>
      </c>
      <c r="G100" s="97">
        <v>564</v>
      </c>
      <c r="H100" s="97">
        <v>271</v>
      </c>
      <c r="I100" s="98"/>
      <c r="J100" s="10">
        <f t="shared" si="9"/>
        <v>3.4559999999999995</v>
      </c>
      <c r="K100" s="11">
        <v>6</v>
      </c>
      <c r="L100" s="12">
        <f t="shared" si="10"/>
        <v>0.57599999999999996</v>
      </c>
      <c r="M100" s="13">
        <f t="shared" si="11"/>
        <v>576</v>
      </c>
      <c r="N100" s="15"/>
    </row>
    <row r="101" spans="1:16" s="5" customFormat="1" ht="12">
      <c r="A101" s="40" t="s">
        <v>355</v>
      </c>
      <c r="B101" s="40" t="s">
        <v>1763</v>
      </c>
      <c r="C101" s="97">
        <v>315</v>
      </c>
      <c r="D101" s="97">
        <v>306</v>
      </c>
      <c r="E101" s="97">
        <v>244</v>
      </c>
      <c r="F101" s="97">
        <v>51</v>
      </c>
      <c r="G101" s="97">
        <v>303</v>
      </c>
      <c r="H101" s="97">
        <v>128</v>
      </c>
      <c r="I101" s="98"/>
      <c r="J101" s="10">
        <f t="shared" si="9"/>
        <v>1.8900000000000001</v>
      </c>
      <c r="K101" s="11">
        <v>6</v>
      </c>
      <c r="L101" s="12">
        <f t="shared" si="10"/>
        <v>0.315</v>
      </c>
      <c r="M101" s="13">
        <f t="shared" si="11"/>
        <v>315</v>
      </c>
      <c r="N101" s="15"/>
    </row>
    <row r="102" spans="1:16" s="5" customFormat="1" ht="12">
      <c r="A102" s="40" t="s">
        <v>355</v>
      </c>
      <c r="B102" s="40" t="s">
        <v>1822</v>
      </c>
      <c r="C102" s="97">
        <v>875</v>
      </c>
      <c r="D102" s="97">
        <v>866</v>
      </c>
      <c r="E102" s="97">
        <v>690</v>
      </c>
      <c r="F102" s="97">
        <v>199</v>
      </c>
      <c r="G102" s="97">
        <v>866</v>
      </c>
      <c r="H102" s="97">
        <v>453</v>
      </c>
      <c r="I102" s="98"/>
      <c r="J102" s="10">
        <f t="shared" si="9"/>
        <v>5.25</v>
      </c>
      <c r="K102" s="11">
        <v>6</v>
      </c>
      <c r="L102" s="12">
        <f t="shared" si="10"/>
        <v>0.875</v>
      </c>
      <c r="M102" s="13">
        <f t="shared" si="11"/>
        <v>875</v>
      </c>
      <c r="N102" s="15"/>
    </row>
    <row r="103" spans="1:16" s="5" customFormat="1" ht="12">
      <c r="A103" s="40" t="s">
        <v>355</v>
      </c>
      <c r="B103" s="40" t="s">
        <v>1843</v>
      </c>
      <c r="C103" s="97">
        <v>433</v>
      </c>
      <c r="D103" s="97">
        <v>417</v>
      </c>
      <c r="E103" s="97">
        <v>323</v>
      </c>
      <c r="F103" s="97">
        <v>96</v>
      </c>
      <c r="G103" s="97">
        <v>423</v>
      </c>
      <c r="H103" s="97">
        <v>219</v>
      </c>
      <c r="I103" s="98"/>
      <c r="J103" s="10">
        <f t="shared" si="9"/>
        <v>2.5979999999999999</v>
      </c>
      <c r="K103" s="11">
        <v>6</v>
      </c>
      <c r="L103" s="12">
        <f t="shared" si="10"/>
        <v>0.433</v>
      </c>
      <c r="M103" s="13">
        <f t="shared" si="11"/>
        <v>433</v>
      </c>
      <c r="N103" s="15"/>
    </row>
    <row r="104" spans="1:16" s="5" customFormat="1" ht="12">
      <c r="A104" s="40" t="s">
        <v>144</v>
      </c>
      <c r="B104" s="40" t="s">
        <v>145</v>
      </c>
      <c r="C104" s="97">
        <v>337</v>
      </c>
      <c r="D104" s="97">
        <v>321</v>
      </c>
      <c r="E104" s="97">
        <v>244</v>
      </c>
      <c r="F104" s="97">
        <v>50</v>
      </c>
      <c r="G104" s="97">
        <v>332</v>
      </c>
      <c r="H104" s="97">
        <v>161</v>
      </c>
      <c r="I104" s="98"/>
      <c r="J104" s="10">
        <f t="shared" si="9"/>
        <v>2.0220000000000002</v>
      </c>
      <c r="K104" s="11">
        <v>6</v>
      </c>
      <c r="L104" s="12">
        <f t="shared" si="10"/>
        <v>0.33700000000000002</v>
      </c>
      <c r="M104" s="13">
        <f t="shared" si="11"/>
        <v>337</v>
      </c>
      <c r="N104" s="15"/>
    </row>
    <row r="105" spans="1:16" s="5" customFormat="1" ht="12">
      <c r="A105" s="40" t="s">
        <v>144</v>
      </c>
      <c r="B105" s="40" t="s">
        <v>200</v>
      </c>
      <c r="C105" s="97">
        <v>364</v>
      </c>
      <c r="D105" s="97">
        <v>345</v>
      </c>
      <c r="E105" s="97">
        <v>264</v>
      </c>
      <c r="F105" s="97">
        <v>61</v>
      </c>
      <c r="G105" s="97">
        <v>356</v>
      </c>
      <c r="H105" s="97">
        <v>169</v>
      </c>
      <c r="I105" s="98"/>
      <c r="J105" s="10">
        <f t="shared" si="9"/>
        <v>2.1840000000000002</v>
      </c>
      <c r="K105" s="11">
        <v>6</v>
      </c>
      <c r="L105" s="12">
        <f t="shared" si="10"/>
        <v>0.36399999999999999</v>
      </c>
      <c r="M105" s="13">
        <f t="shared" si="11"/>
        <v>364</v>
      </c>
      <c r="N105" s="15"/>
    </row>
    <row r="106" spans="1:16" s="5" customFormat="1" ht="12">
      <c r="A106" s="40" t="s">
        <v>144</v>
      </c>
      <c r="B106" s="40" t="s">
        <v>287</v>
      </c>
      <c r="C106" s="97">
        <v>364</v>
      </c>
      <c r="D106" s="97">
        <v>315</v>
      </c>
      <c r="E106" s="97">
        <v>204</v>
      </c>
      <c r="F106" s="97">
        <v>67</v>
      </c>
      <c r="G106" s="97">
        <v>351</v>
      </c>
      <c r="H106" s="97">
        <v>156</v>
      </c>
      <c r="I106" s="98"/>
      <c r="J106" s="10">
        <f t="shared" si="9"/>
        <v>2.1840000000000002</v>
      </c>
      <c r="K106" s="11">
        <v>6</v>
      </c>
      <c r="L106" s="12">
        <f t="shared" si="10"/>
        <v>0.36399999999999999</v>
      </c>
      <c r="M106" s="13">
        <f t="shared" si="11"/>
        <v>364</v>
      </c>
      <c r="N106" s="15"/>
    </row>
    <row r="107" spans="1:16" s="5" customFormat="1" ht="12">
      <c r="A107" s="40" t="s">
        <v>144</v>
      </c>
      <c r="B107" s="40" t="s">
        <v>429</v>
      </c>
      <c r="C107" s="97">
        <v>1159</v>
      </c>
      <c r="D107" s="97">
        <v>1098</v>
      </c>
      <c r="E107" s="97">
        <v>883</v>
      </c>
      <c r="F107" s="97">
        <v>225</v>
      </c>
      <c r="G107" s="97">
        <v>1128</v>
      </c>
      <c r="H107" s="97">
        <v>556</v>
      </c>
      <c r="I107" s="98"/>
      <c r="J107" s="10">
        <f t="shared" si="9"/>
        <v>6.9540000000000006</v>
      </c>
      <c r="K107" s="11">
        <v>6</v>
      </c>
      <c r="L107" s="12">
        <f t="shared" si="10"/>
        <v>1.159</v>
      </c>
      <c r="M107" s="13">
        <f t="shared" si="11"/>
        <v>1159</v>
      </c>
      <c r="N107" s="15"/>
    </row>
    <row r="108" spans="1:16" s="5" customFormat="1" ht="12">
      <c r="A108" s="40" t="s">
        <v>144</v>
      </c>
      <c r="B108" s="40" t="s">
        <v>445</v>
      </c>
      <c r="C108" s="97">
        <v>1550</v>
      </c>
      <c r="D108" s="97">
        <v>1524</v>
      </c>
      <c r="E108" s="97">
        <v>1227</v>
      </c>
      <c r="F108" s="97">
        <v>336</v>
      </c>
      <c r="G108" s="97">
        <v>1519</v>
      </c>
      <c r="H108" s="97">
        <v>835</v>
      </c>
      <c r="I108" s="98"/>
      <c r="J108" s="10">
        <f t="shared" si="9"/>
        <v>9.3000000000000007</v>
      </c>
      <c r="K108" s="11">
        <v>6</v>
      </c>
      <c r="L108" s="12">
        <f t="shared" si="10"/>
        <v>1.55</v>
      </c>
      <c r="M108" s="13">
        <f t="shared" si="11"/>
        <v>1550</v>
      </c>
      <c r="N108" s="15"/>
    </row>
    <row r="109" spans="1:16" s="5" customFormat="1" ht="12">
      <c r="A109" s="40" t="s">
        <v>144</v>
      </c>
      <c r="B109" s="40" t="s">
        <v>453</v>
      </c>
      <c r="C109" s="97">
        <v>661</v>
      </c>
      <c r="D109" s="97">
        <v>622</v>
      </c>
      <c r="E109" s="97">
        <v>496</v>
      </c>
      <c r="F109" s="97">
        <v>174</v>
      </c>
      <c r="G109" s="97">
        <v>649</v>
      </c>
      <c r="H109" s="97">
        <v>387</v>
      </c>
      <c r="I109" s="98"/>
      <c r="J109" s="10">
        <f t="shared" si="9"/>
        <v>3.9660000000000002</v>
      </c>
      <c r="K109" s="11">
        <v>6</v>
      </c>
      <c r="L109" s="12">
        <f t="shared" si="10"/>
        <v>0.66100000000000003</v>
      </c>
      <c r="M109" s="13">
        <f t="shared" si="11"/>
        <v>661</v>
      </c>
      <c r="N109" s="15"/>
    </row>
    <row r="110" spans="1:16" s="5" customFormat="1" ht="12">
      <c r="A110" s="40" t="s">
        <v>144</v>
      </c>
      <c r="B110" s="40" t="s">
        <v>1942</v>
      </c>
      <c r="C110" s="97">
        <v>412</v>
      </c>
      <c r="D110" s="97">
        <v>388</v>
      </c>
      <c r="E110" s="97">
        <v>292</v>
      </c>
      <c r="F110" s="97">
        <v>65</v>
      </c>
      <c r="G110" s="97">
        <v>404</v>
      </c>
      <c r="H110" s="97">
        <v>196</v>
      </c>
      <c r="I110" s="98"/>
      <c r="J110" s="10">
        <f t="shared" si="9"/>
        <v>2.472</v>
      </c>
      <c r="K110" s="11">
        <v>6</v>
      </c>
      <c r="L110" s="12">
        <f t="shared" si="10"/>
        <v>0.41199999999999998</v>
      </c>
      <c r="M110" s="13">
        <f t="shared" si="11"/>
        <v>412</v>
      </c>
      <c r="N110" s="15"/>
    </row>
    <row r="111" spans="1:16" s="5" customFormat="1" ht="12">
      <c r="A111" s="40" t="s">
        <v>144</v>
      </c>
      <c r="B111" s="40" t="s">
        <v>530</v>
      </c>
      <c r="C111" s="97">
        <v>3222</v>
      </c>
      <c r="D111" s="97">
        <v>3156</v>
      </c>
      <c r="E111" s="97">
        <v>2628</v>
      </c>
      <c r="F111" s="97">
        <v>714</v>
      </c>
      <c r="G111" s="97">
        <v>3168</v>
      </c>
      <c r="H111" s="97">
        <v>1737</v>
      </c>
      <c r="I111" s="98"/>
      <c r="J111" s="10">
        <f t="shared" si="9"/>
        <v>19.332000000000001</v>
      </c>
      <c r="K111" s="11">
        <v>6</v>
      </c>
      <c r="L111" s="12">
        <f t="shared" si="10"/>
        <v>3.222</v>
      </c>
      <c r="M111" s="13">
        <f t="shared" si="11"/>
        <v>3222</v>
      </c>
      <c r="N111" s="15"/>
    </row>
    <row r="112" spans="1:16" s="5" customFormat="1" ht="12">
      <c r="A112" s="40" t="s">
        <v>144</v>
      </c>
      <c r="B112" s="40" t="s">
        <v>539</v>
      </c>
      <c r="C112" s="97">
        <v>305</v>
      </c>
      <c r="D112" s="97">
        <v>293</v>
      </c>
      <c r="E112" s="97">
        <v>233</v>
      </c>
      <c r="F112" s="97">
        <v>52</v>
      </c>
      <c r="G112" s="97">
        <v>298</v>
      </c>
      <c r="H112" s="97">
        <v>140</v>
      </c>
      <c r="I112" s="98"/>
      <c r="J112" s="10">
        <f t="shared" si="9"/>
        <v>1.83</v>
      </c>
      <c r="K112" s="11">
        <v>6</v>
      </c>
      <c r="L112" s="12">
        <f t="shared" si="10"/>
        <v>0.30499999999999999</v>
      </c>
      <c r="M112" s="13">
        <f t="shared" si="11"/>
        <v>305</v>
      </c>
      <c r="N112" s="15"/>
    </row>
    <row r="113" spans="1:14" s="5" customFormat="1" ht="12">
      <c r="A113" s="40" t="s">
        <v>144</v>
      </c>
      <c r="B113" s="40" t="s">
        <v>621</v>
      </c>
      <c r="C113" s="97">
        <v>2041</v>
      </c>
      <c r="D113" s="97">
        <v>1988</v>
      </c>
      <c r="E113" s="97">
        <v>1729</v>
      </c>
      <c r="F113" s="97">
        <v>483</v>
      </c>
      <c r="G113" s="97">
        <v>2016</v>
      </c>
      <c r="H113" s="97">
        <v>1188</v>
      </c>
      <c r="I113" s="98"/>
      <c r="J113" s="10">
        <f t="shared" si="9"/>
        <v>12.245999999999999</v>
      </c>
      <c r="K113" s="11">
        <v>6</v>
      </c>
      <c r="L113" s="12">
        <f t="shared" si="10"/>
        <v>2.0409999999999999</v>
      </c>
      <c r="M113" s="13">
        <f t="shared" si="11"/>
        <v>2041</v>
      </c>
      <c r="N113" s="15"/>
    </row>
    <row r="114" spans="1:14" s="5" customFormat="1" ht="12">
      <c r="A114" s="40" t="s">
        <v>144</v>
      </c>
      <c r="B114" s="40" t="s">
        <v>627</v>
      </c>
      <c r="C114" s="97">
        <v>4369</v>
      </c>
      <c r="D114" s="97">
        <v>4290</v>
      </c>
      <c r="E114" s="97">
        <v>3661</v>
      </c>
      <c r="F114" s="97">
        <v>1084</v>
      </c>
      <c r="G114" s="97">
        <v>4279</v>
      </c>
      <c r="H114" s="97">
        <v>2565</v>
      </c>
      <c r="I114" s="98"/>
      <c r="J114" s="10">
        <f t="shared" si="9"/>
        <v>26.213999999999999</v>
      </c>
      <c r="K114" s="11">
        <v>6</v>
      </c>
      <c r="L114" s="12">
        <f t="shared" si="10"/>
        <v>4.3689999999999998</v>
      </c>
      <c r="M114" s="13">
        <f t="shared" si="11"/>
        <v>4369</v>
      </c>
      <c r="N114" s="15"/>
    </row>
    <row r="115" spans="1:14" s="5" customFormat="1" ht="12">
      <c r="A115" s="40" t="s">
        <v>144</v>
      </c>
      <c r="B115" s="40" t="s">
        <v>668</v>
      </c>
      <c r="C115" s="97">
        <v>2242</v>
      </c>
      <c r="D115" s="97">
        <v>2164</v>
      </c>
      <c r="E115" s="97">
        <v>1785</v>
      </c>
      <c r="F115" s="97">
        <v>663</v>
      </c>
      <c r="G115" s="97">
        <v>2219</v>
      </c>
      <c r="H115" s="97">
        <v>1440</v>
      </c>
      <c r="I115" s="98"/>
      <c r="J115" s="10">
        <f t="shared" si="9"/>
        <v>13.452</v>
      </c>
      <c r="K115" s="11">
        <v>6</v>
      </c>
      <c r="L115" s="12">
        <f t="shared" si="10"/>
        <v>2.242</v>
      </c>
      <c r="M115" s="13">
        <f t="shared" si="11"/>
        <v>2242</v>
      </c>
      <c r="N115" s="15"/>
    </row>
    <row r="116" spans="1:14" s="5" customFormat="1" ht="12">
      <c r="A116" s="40" t="s">
        <v>144</v>
      </c>
      <c r="B116" s="40" t="s">
        <v>744</v>
      </c>
      <c r="C116" s="97">
        <v>1623</v>
      </c>
      <c r="D116" s="97">
        <v>1577</v>
      </c>
      <c r="E116" s="97">
        <v>1196</v>
      </c>
      <c r="F116" s="97">
        <v>283</v>
      </c>
      <c r="G116" s="97">
        <v>1597</v>
      </c>
      <c r="H116" s="97">
        <v>767</v>
      </c>
      <c r="I116" s="98"/>
      <c r="J116" s="10">
        <f t="shared" si="9"/>
        <v>9.7379999999999995</v>
      </c>
      <c r="K116" s="11">
        <v>6</v>
      </c>
      <c r="L116" s="12">
        <f t="shared" si="10"/>
        <v>1.623</v>
      </c>
      <c r="M116" s="13">
        <f t="shared" si="11"/>
        <v>1623</v>
      </c>
      <c r="N116" s="15"/>
    </row>
    <row r="117" spans="1:14" s="5" customFormat="1" ht="12">
      <c r="A117" s="40" t="s">
        <v>144</v>
      </c>
      <c r="B117" s="40" t="s">
        <v>781</v>
      </c>
      <c r="C117" s="97">
        <v>1917</v>
      </c>
      <c r="D117" s="97">
        <v>1871</v>
      </c>
      <c r="E117" s="97">
        <v>1534</v>
      </c>
      <c r="F117" s="97">
        <v>464</v>
      </c>
      <c r="G117" s="97">
        <v>1872</v>
      </c>
      <c r="H117" s="97">
        <v>1141</v>
      </c>
      <c r="I117" s="98"/>
      <c r="J117" s="10">
        <f t="shared" si="9"/>
        <v>11.502000000000001</v>
      </c>
      <c r="K117" s="11">
        <v>6</v>
      </c>
      <c r="L117" s="12">
        <f t="shared" si="10"/>
        <v>1.917</v>
      </c>
      <c r="M117" s="13">
        <f t="shared" si="11"/>
        <v>1917</v>
      </c>
      <c r="N117" s="15"/>
    </row>
    <row r="118" spans="1:14" s="5" customFormat="1" ht="12">
      <c r="A118" s="40" t="s">
        <v>144</v>
      </c>
      <c r="B118" s="40" t="s">
        <v>849</v>
      </c>
      <c r="C118" s="97">
        <v>344</v>
      </c>
      <c r="D118" s="97">
        <v>312</v>
      </c>
      <c r="E118" s="97">
        <v>202</v>
      </c>
      <c r="F118" s="97">
        <v>61</v>
      </c>
      <c r="G118" s="97">
        <v>332</v>
      </c>
      <c r="H118" s="97">
        <v>151</v>
      </c>
      <c r="I118" s="98"/>
      <c r="J118" s="10">
        <f t="shared" ref="J118:J149" si="12">+K118*L118</f>
        <v>2.0640000000000001</v>
      </c>
      <c r="K118" s="11">
        <v>6</v>
      </c>
      <c r="L118" s="12">
        <f t="shared" ref="L118:L149" si="13">+M118/1000</f>
        <v>0.34399999999999997</v>
      </c>
      <c r="M118" s="13">
        <f t="shared" ref="M118:M149" si="14">+C118</f>
        <v>344</v>
      </c>
      <c r="N118" s="15"/>
    </row>
    <row r="119" spans="1:14" s="5" customFormat="1" ht="12">
      <c r="A119" s="40" t="s">
        <v>144</v>
      </c>
      <c r="B119" s="40" t="s">
        <v>854</v>
      </c>
      <c r="C119" s="97">
        <v>559</v>
      </c>
      <c r="D119" s="97">
        <v>543</v>
      </c>
      <c r="E119" s="97">
        <v>409</v>
      </c>
      <c r="F119" s="97">
        <v>137</v>
      </c>
      <c r="G119" s="97">
        <v>550</v>
      </c>
      <c r="H119" s="97">
        <v>291</v>
      </c>
      <c r="I119" s="98"/>
      <c r="J119" s="10">
        <f t="shared" si="12"/>
        <v>3.3540000000000001</v>
      </c>
      <c r="K119" s="11">
        <v>6</v>
      </c>
      <c r="L119" s="12">
        <f t="shared" si="13"/>
        <v>0.55900000000000005</v>
      </c>
      <c r="M119" s="13">
        <f t="shared" si="14"/>
        <v>559</v>
      </c>
      <c r="N119" s="15"/>
    </row>
    <row r="120" spans="1:14" s="5" customFormat="1" ht="12">
      <c r="A120" s="40" t="s">
        <v>144</v>
      </c>
      <c r="B120" s="40" t="s">
        <v>864</v>
      </c>
      <c r="C120" s="97">
        <v>1886</v>
      </c>
      <c r="D120" s="97">
        <v>1843</v>
      </c>
      <c r="E120" s="97">
        <v>1478</v>
      </c>
      <c r="F120" s="97">
        <v>373</v>
      </c>
      <c r="G120" s="97">
        <v>1859</v>
      </c>
      <c r="H120" s="97">
        <v>977</v>
      </c>
      <c r="I120" s="98"/>
      <c r="J120" s="10">
        <f t="shared" si="12"/>
        <v>11.315999999999999</v>
      </c>
      <c r="K120" s="11">
        <v>6</v>
      </c>
      <c r="L120" s="12">
        <f t="shared" si="13"/>
        <v>1.8859999999999999</v>
      </c>
      <c r="M120" s="13">
        <f t="shared" si="14"/>
        <v>1886</v>
      </c>
      <c r="N120" s="15"/>
    </row>
    <row r="121" spans="1:14" s="5" customFormat="1" ht="12">
      <c r="A121" s="40" t="s">
        <v>144</v>
      </c>
      <c r="B121" s="40" t="s">
        <v>866</v>
      </c>
      <c r="C121" s="97">
        <v>322</v>
      </c>
      <c r="D121" s="97">
        <v>310</v>
      </c>
      <c r="E121" s="97">
        <v>246</v>
      </c>
      <c r="F121" s="97">
        <v>84</v>
      </c>
      <c r="G121" s="97">
        <v>319</v>
      </c>
      <c r="H121" s="97">
        <v>190</v>
      </c>
      <c r="I121" s="98"/>
      <c r="J121" s="10">
        <f t="shared" si="12"/>
        <v>1.9319999999999999</v>
      </c>
      <c r="K121" s="11">
        <v>6</v>
      </c>
      <c r="L121" s="12">
        <f t="shared" si="13"/>
        <v>0.32200000000000001</v>
      </c>
      <c r="M121" s="13">
        <f t="shared" si="14"/>
        <v>322</v>
      </c>
      <c r="N121" s="15"/>
    </row>
    <row r="122" spans="1:14" s="5" customFormat="1" ht="12">
      <c r="A122" s="40" t="s">
        <v>144</v>
      </c>
      <c r="B122" s="40" t="s">
        <v>873</v>
      </c>
      <c r="C122" s="97">
        <v>1251</v>
      </c>
      <c r="D122" s="97">
        <v>1212</v>
      </c>
      <c r="E122" s="97">
        <v>949</v>
      </c>
      <c r="F122" s="97">
        <v>280</v>
      </c>
      <c r="G122" s="97">
        <v>1238</v>
      </c>
      <c r="H122" s="97">
        <v>657</v>
      </c>
      <c r="I122" s="98"/>
      <c r="J122" s="10">
        <f t="shared" si="12"/>
        <v>7.5059999999999993</v>
      </c>
      <c r="K122" s="11">
        <v>6</v>
      </c>
      <c r="L122" s="12">
        <f t="shared" si="13"/>
        <v>1.2509999999999999</v>
      </c>
      <c r="M122" s="13">
        <f t="shared" si="14"/>
        <v>1251</v>
      </c>
      <c r="N122" s="15"/>
    </row>
    <row r="123" spans="1:14" s="5" customFormat="1" ht="12">
      <c r="A123" s="40" t="s">
        <v>144</v>
      </c>
      <c r="B123" s="40" t="s">
        <v>907</v>
      </c>
      <c r="C123" s="97">
        <v>1637</v>
      </c>
      <c r="D123" s="97">
        <v>1603</v>
      </c>
      <c r="E123" s="97">
        <v>1377</v>
      </c>
      <c r="F123" s="97">
        <v>475</v>
      </c>
      <c r="G123" s="97">
        <v>1613</v>
      </c>
      <c r="H123" s="97">
        <v>1051</v>
      </c>
      <c r="I123" s="98"/>
      <c r="J123" s="10">
        <f t="shared" si="12"/>
        <v>9.8219999999999992</v>
      </c>
      <c r="K123" s="11">
        <v>6</v>
      </c>
      <c r="L123" s="12">
        <f t="shared" si="13"/>
        <v>1.637</v>
      </c>
      <c r="M123" s="13">
        <f t="shared" si="14"/>
        <v>1637</v>
      </c>
      <c r="N123" s="15"/>
    </row>
    <row r="124" spans="1:14" s="5" customFormat="1" ht="12">
      <c r="A124" s="40" t="s">
        <v>144</v>
      </c>
      <c r="B124" s="40" t="s">
        <v>909</v>
      </c>
      <c r="C124" s="97">
        <v>5009</v>
      </c>
      <c r="D124" s="97">
        <v>4903</v>
      </c>
      <c r="E124" s="97">
        <v>4123</v>
      </c>
      <c r="F124" s="97">
        <v>1348</v>
      </c>
      <c r="G124" s="97">
        <v>4921</v>
      </c>
      <c r="H124" s="97">
        <v>3050</v>
      </c>
      <c r="I124" s="98"/>
      <c r="J124" s="10">
        <f t="shared" si="12"/>
        <v>30.054000000000002</v>
      </c>
      <c r="K124" s="11">
        <v>6</v>
      </c>
      <c r="L124" s="12">
        <f t="shared" si="13"/>
        <v>5.0090000000000003</v>
      </c>
      <c r="M124" s="13">
        <f t="shared" si="14"/>
        <v>5009</v>
      </c>
      <c r="N124" s="15"/>
    </row>
    <row r="125" spans="1:14" s="5" customFormat="1" ht="12">
      <c r="A125" s="40" t="s">
        <v>144</v>
      </c>
      <c r="B125" s="40" t="s">
        <v>1016</v>
      </c>
      <c r="C125" s="97">
        <v>335</v>
      </c>
      <c r="D125" s="97">
        <v>329</v>
      </c>
      <c r="E125" s="97">
        <v>282</v>
      </c>
      <c r="F125" s="97">
        <v>88</v>
      </c>
      <c r="G125" s="97">
        <v>328</v>
      </c>
      <c r="H125" s="97">
        <v>206</v>
      </c>
      <c r="I125" s="98"/>
      <c r="J125" s="10">
        <f t="shared" si="12"/>
        <v>2.0100000000000002</v>
      </c>
      <c r="K125" s="11">
        <v>6</v>
      </c>
      <c r="L125" s="12">
        <f t="shared" si="13"/>
        <v>0.33500000000000002</v>
      </c>
      <c r="M125" s="13">
        <f t="shared" si="14"/>
        <v>335</v>
      </c>
      <c r="N125" s="15"/>
    </row>
    <row r="126" spans="1:14" s="5" customFormat="1" ht="12">
      <c r="A126" s="40" t="s">
        <v>144</v>
      </c>
      <c r="B126" s="40" t="s">
        <v>1023</v>
      </c>
      <c r="C126" s="97">
        <v>385</v>
      </c>
      <c r="D126" s="97">
        <v>377</v>
      </c>
      <c r="E126" s="97">
        <v>335</v>
      </c>
      <c r="F126" s="97">
        <v>107</v>
      </c>
      <c r="G126" s="97">
        <v>378</v>
      </c>
      <c r="H126" s="97">
        <v>253</v>
      </c>
      <c r="I126" s="98"/>
      <c r="J126" s="10">
        <f t="shared" si="12"/>
        <v>2.31</v>
      </c>
      <c r="K126" s="11">
        <v>6</v>
      </c>
      <c r="L126" s="12">
        <f t="shared" si="13"/>
        <v>0.38500000000000001</v>
      </c>
      <c r="M126" s="13">
        <f t="shared" si="14"/>
        <v>385</v>
      </c>
      <c r="N126" s="15"/>
    </row>
    <row r="127" spans="1:14" s="5" customFormat="1" ht="12">
      <c r="A127" s="40" t="s">
        <v>144</v>
      </c>
      <c r="B127" s="40" t="s">
        <v>1079</v>
      </c>
      <c r="C127" s="97">
        <v>5439</v>
      </c>
      <c r="D127" s="97">
        <v>5378</v>
      </c>
      <c r="E127" s="97">
        <v>4597</v>
      </c>
      <c r="F127" s="97">
        <v>1420</v>
      </c>
      <c r="G127" s="97">
        <v>5342</v>
      </c>
      <c r="H127" s="97">
        <v>3221</v>
      </c>
      <c r="I127" s="98"/>
      <c r="J127" s="10">
        <f t="shared" si="12"/>
        <v>32.634</v>
      </c>
      <c r="K127" s="11">
        <v>6</v>
      </c>
      <c r="L127" s="12">
        <f t="shared" si="13"/>
        <v>5.4390000000000001</v>
      </c>
      <c r="M127" s="13">
        <f t="shared" si="14"/>
        <v>5439</v>
      </c>
      <c r="N127" s="15"/>
    </row>
    <row r="128" spans="1:14" s="5" customFormat="1" ht="12">
      <c r="A128" s="40" t="s">
        <v>144</v>
      </c>
      <c r="B128" s="40" t="s">
        <v>1113</v>
      </c>
      <c r="C128" s="97">
        <v>623</v>
      </c>
      <c r="D128" s="97">
        <v>611</v>
      </c>
      <c r="E128" s="97">
        <v>456</v>
      </c>
      <c r="F128" s="97">
        <v>152</v>
      </c>
      <c r="G128" s="97">
        <v>620</v>
      </c>
      <c r="H128" s="97">
        <v>352</v>
      </c>
      <c r="I128" s="98"/>
      <c r="J128" s="10">
        <f t="shared" si="12"/>
        <v>3.738</v>
      </c>
      <c r="K128" s="11">
        <v>6</v>
      </c>
      <c r="L128" s="12">
        <f t="shared" si="13"/>
        <v>0.623</v>
      </c>
      <c r="M128" s="13">
        <f t="shared" si="14"/>
        <v>623</v>
      </c>
      <c r="N128" s="15"/>
    </row>
    <row r="129" spans="1:14" s="5" customFormat="1" ht="12">
      <c r="A129" s="40" t="s">
        <v>144</v>
      </c>
      <c r="B129" s="40" t="s">
        <v>1130</v>
      </c>
      <c r="C129" s="97">
        <v>480</v>
      </c>
      <c r="D129" s="97">
        <v>469</v>
      </c>
      <c r="E129" s="97">
        <v>408</v>
      </c>
      <c r="F129" s="97">
        <v>89</v>
      </c>
      <c r="G129" s="97">
        <v>478</v>
      </c>
      <c r="H129" s="97">
        <v>232</v>
      </c>
      <c r="I129" s="98"/>
      <c r="J129" s="10">
        <f t="shared" si="12"/>
        <v>2.88</v>
      </c>
      <c r="K129" s="11">
        <v>6</v>
      </c>
      <c r="L129" s="12">
        <f t="shared" si="13"/>
        <v>0.48</v>
      </c>
      <c r="M129" s="13">
        <f t="shared" si="14"/>
        <v>480</v>
      </c>
      <c r="N129" s="15"/>
    </row>
    <row r="130" spans="1:14" s="5" customFormat="1" ht="12">
      <c r="A130" s="40" t="s">
        <v>144</v>
      </c>
      <c r="B130" s="40" t="s">
        <v>1148</v>
      </c>
      <c r="C130" s="97">
        <v>3710</v>
      </c>
      <c r="D130" s="97">
        <v>3532</v>
      </c>
      <c r="E130" s="97">
        <v>2754</v>
      </c>
      <c r="F130" s="97">
        <v>868</v>
      </c>
      <c r="G130" s="97">
        <v>3668</v>
      </c>
      <c r="H130" s="97">
        <v>2006</v>
      </c>
      <c r="I130" s="98"/>
      <c r="J130" s="10">
        <f t="shared" si="12"/>
        <v>22.259999999999998</v>
      </c>
      <c r="K130" s="11">
        <v>6</v>
      </c>
      <c r="L130" s="12">
        <f t="shared" si="13"/>
        <v>3.71</v>
      </c>
      <c r="M130" s="13">
        <f t="shared" si="14"/>
        <v>3710</v>
      </c>
      <c r="N130" s="15"/>
    </row>
    <row r="131" spans="1:14" s="5" customFormat="1" ht="12">
      <c r="A131" s="40" t="s">
        <v>144</v>
      </c>
      <c r="B131" s="40" t="s">
        <v>1182</v>
      </c>
      <c r="C131" s="97">
        <v>1582</v>
      </c>
      <c r="D131" s="97">
        <v>1547</v>
      </c>
      <c r="E131" s="97">
        <v>1224</v>
      </c>
      <c r="F131" s="97">
        <v>332</v>
      </c>
      <c r="G131" s="97">
        <v>1563</v>
      </c>
      <c r="H131" s="97">
        <v>817</v>
      </c>
      <c r="I131" s="98"/>
      <c r="J131" s="10">
        <f t="shared" si="12"/>
        <v>9.4920000000000009</v>
      </c>
      <c r="K131" s="11">
        <v>6</v>
      </c>
      <c r="L131" s="12">
        <f t="shared" si="13"/>
        <v>1.5820000000000001</v>
      </c>
      <c r="M131" s="13">
        <f t="shared" si="14"/>
        <v>1582</v>
      </c>
      <c r="N131" s="15"/>
    </row>
    <row r="132" spans="1:14" s="5" customFormat="1" ht="12">
      <c r="A132" s="40" t="s">
        <v>144</v>
      </c>
      <c r="B132" s="40" t="s">
        <v>1243</v>
      </c>
      <c r="C132" s="97">
        <v>608</v>
      </c>
      <c r="D132" s="97">
        <v>592</v>
      </c>
      <c r="E132" s="97">
        <v>459</v>
      </c>
      <c r="F132" s="97">
        <v>122</v>
      </c>
      <c r="G132" s="97">
        <v>597</v>
      </c>
      <c r="H132" s="97">
        <v>314</v>
      </c>
      <c r="I132" s="98"/>
      <c r="J132" s="10">
        <f t="shared" si="12"/>
        <v>3.6479999999999997</v>
      </c>
      <c r="K132" s="11">
        <v>6</v>
      </c>
      <c r="L132" s="12">
        <f t="shared" si="13"/>
        <v>0.60799999999999998</v>
      </c>
      <c r="M132" s="13">
        <f t="shared" si="14"/>
        <v>608</v>
      </c>
      <c r="N132" s="15"/>
    </row>
    <row r="133" spans="1:14" s="5" customFormat="1" ht="12">
      <c r="A133" s="40" t="s">
        <v>144</v>
      </c>
      <c r="B133" s="40" t="s">
        <v>1255</v>
      </c>
      <c r="C133" s="97">
        <v>971</v>
      </c>
      <c r="D133" s="97">
        <v>931</v>
      </c>
      <c r="E133" s="97">
        <v>764</v>
      </c>
      <c r="F133" s="97">
        <v>228</v>
      </c>
      <c r="G133" s="97">
        <v>952</v>
      </c>
      <c r="H133" s="97">
        <v>567</v>
      </c>
      <c r="I133" s="98"/>
      <c r="J133" s="10">
        <f t="shared" si="12"/>
        <v>5.8259999999999996</v>
      </c>
      <c r="K133" s="11">
        <v>6</v>
      </c>
      <c r="L133" s="12">
        <f t="shared" si="13"/>
        <v>0.97099999999999997</v>
      </c>
      <c r="M133" s="13">
        <f t="shared" si="14"/>
        <v>971</v>
      </c>
      <c r="N133" s="15"/>
    </row>
    <row r="134" spans="1:14" s="5" customFormat="1" ht="12">
      <c r="A134" s="40" t="s">
        <v>144</v>
      </c>
      <c r="B134" s="40" t="s">
        <v>1258</v>
      </c>
      <c r="C134" s="97">
        <v>859</v>
      </c>
      <c r="D134" s="97">
        <v>817</v>
      </c>
      <c r="E134" s="97">
        <v>632</v>
      </c>
      <c r="F134" s="97">
        <v>205</v>
      </c>
      <c r="G134" s="97">
        <v>845</v>
      </c>
      <c r="H134" s="97">
        <v>513</v>
      </c>
      <c r="I134" s="98"/>
      <c r="J134" s="10">
        <f t="shared" si="12"/>
        <v>5.1539999999999999</v>
      </c>
      <c r="K134" s="11">
        <v>6</v>
      </c>
      <c r="L134" s="12">
        <f t="shared" si="13"/>
        <v>0.85899999999999999</v>
      </c>
      <c r="M134" s="13">
        <f t="shared" si="14"/>
        <v>859</v>
      </c>
      <c r="N134" s="15"/>
    </row>
    <row r="135" spans="1:14" s="5" customFormat="1" ht="12">
      <c r="A135" s="40" t="s">
        <v>144</v>
      </c>
      <c r="B135" s="40" t="s">
        <v>1448</v>
      </c>
      <c r="C135" s="97">
        <v>543</v>
      </c>
      <c r="D135" s="97">
        <v>522</v>
      </c>
      <c r="E135" s="97">
        <v>411</v>
      </c>
      <c r="F135" s="97">
        <v>87</v>
      </c>
      <c r="G135" s="97">
        <v>537</v>
      </c>
      <c r="H135" s="97">
        <v>224</v>
      </c>
      <c r="I135" s="98"/>
      <c r="J135" s="10">
        <f t="shared" si="12"/>
        <v>3.258</v>
      </c>
      <c r="K135" s="11">
        <v>6</v>
      </c>
      <c r="L135" s="12">
        <f t="shared" si="13"/>
        <v>0.54300000000000004</v>
      </c>
      <c r="M135" s="13">
        <f t="shared" si="14"/>
        <v>543</v>
      </c>
      <c r="N135" s="15"/>
    </row>
    <row r="136" spans="1:14" s="5" customFormat="1" ht="12">
      <c r="A136" s="40" t="s">
        <v>144</v>
      </c>
      <c r="B136" s="40" t="s">
        <v>1537</v>
      </c>
      <c r="C136" s="97">
        <v>2885</v>
      </c>
      <c r="D136" s="97">
        <v>2840</v>
      </c>
      <c r="E136" s="97">
        <v>2411</v>
      </c>
      <c r="F136" s="97">
        <v>680</v>
      </c>
      <c r="G136" s="97">
        <v>2850</v>
      </c>
      <c r="H136" s="97">
        <v>1712</v>
      </c>
      <c r="I136" s="98"/>
      <c r="J136" s="10">
        <f t="shared" si="12"/>
        <v>17.309999999999999</v>
      </c>
      <c r="K136" s="11">
        <v>6</v>
      </c>
      <c r="L136" s="12">
        <f t="shared" si="13"/>
        <v>2.8849999999999998</v>
      </c>
      <c r="M136" s="13">
        <f t="shared" si="14"/>
        <v>2885</v>
      </c>
      <c r="N136" s="15"/>
    </row>
    <row r="137" spans="1:14" s="5" customFormat="1" ht="12">
      <c r="A137" s="40" t="s">
        <v>144</v>
      </c>
      <c r="B137" s="40" t="s">
        <v>1557</v>
      </c>
      <c r="C137" s="97">
        <v>412</v>
      </c>
      <c r="D137" s="97">
        <v>395</v>
      </c>
      <c r="E137" s="97">
        <v>323</v>
      </c>
      <c r="F137" s="97">
        <v>78</v>
      </c>
      <c r="G137" s="97">
        <v>406</v>
      </c>
      <c r="H137" s="97">
        <v>182</v>
      </c>
      <c r="I137" s="98"/>
      <c r="J137" s="10">
        <f t="shared" si="12"/>
        <v>2.472</v>
      </c>
      <c r="K137" s="11">
        <v>6</v>
      </c>
      <c r="L137" s="12">
        <f t="shared" si="13"/>
        <v>0.41199999999999998</v>
      </c>
      <c r="M137" s="13">
        <f t="shared" si="14"/>
        <v>412</v>
      </c>
      <c r="N137" s="15"/>
    </row>
    <row r="138" spans="1:14" s="5" customFormat="1" ht="12">
      <c r="A138" s="40" t="s">
        <v>144</v>
      </c>
      <c r="B138" s="40" t="s">
        <v>1652</v>
      </c>
      <c r="C138" s="97">
        <v>1092</v>
      </c>
      <c r="D138" s="97">
        <v>1004</v>
      </c>
      <c r="E138" s="97">
        <v>790</v>
      </c>
      <c r="F138" s="97">
        <v>321</v>
      </c>
      <c r="G138" s="97">
        <v>1072</v>
      </c>
      <c r="H138" s="97">
        <v>707</v>
      </c>
      <c r="I138" s="98"/>
      <c r="J138" s="10">
        <f t="shared" si="12"/>
        <v>6.5520000000000005</v>
      </c>
      <c r="K138" s="11">
        <v>6</v>
      </c>
      <c r="L138" s="12">
        <f t="shared" si="13"/>
        <v>1.0920000000000001</v>
      </c>
      <c r="M138" s="13">
        <f t="shared" si="14"/>
        <v>1092</v>
      </c>
      <c r="N138" s="15"/>
    </row>
    <row r="139" spans="1:14" s="5" customFormat="1" ht="12">
      <c r="A139" s="40" t="s">
        <v>144</v>
      </c>
      <c r="B139" s="40" t="s">
        <v>1739</v>
      </c>
      <c r="C139" s="97">
        <v>335</v>
      </c>
      <c r="D139" s="97">
        <v>316</v>
      </c>
      <c r="E139" s="97">
        <v>202</v>
      </c>
      <c r="F139" s="97">
        <v>52</v>
      </c>
      <c r="G139" s="97">
        <v>326</v>
      </c>
      <c r="H139" s="97">
        <v>148</v>
      </c>
      <c r="I139" s="98"/>
      <c r="J139" s="10">
        <f t="shared" si="12"/>
        <v>2.0100000000000002</v>
      </c>
      <c r="K139" s="11">
        <v>6</v>
      </c>
      <c r="L139" s="12">
        <f t="shared" si="13"/>
        <v>0.33500000000000002</v>
      </c>
      <c r="M139" s="13">
        <f t="shared" si="14"/>
        <v>335</v>
      </c>
      <c r="N139" s="15"/>
    </row>
    <row r="140" spans="1:14" s="5" customFormat="1" ht="12">
      <c r="A140" s="40" t="s">
        <v>144</v>
      </c>
      <c r="B140" s="40" t="s">
        <v>1756</v>
      </c>
      <c r="C140" s="97">
        <v>688</v>
      </c>
      <c r="D140" s="97">
        <v>675</v>
      </c>
      <c r="E140" s="97">
        <v>591</v>
      </c>
      <c r="F140" s="97">
        <v>275</v>
      </c>
      <c r="G140" s="97">
        <v>680</v>
      </c>
      <c r="H140" s="97">
        <v>492</v>
      </c>
      <c r="I140" s="98"/>
      <c r="J140" s="10">
        <f t="shared" si="12"/>
        <v>4.1280000000000001</v>
      </c>
      <c r="K140" s="11">
        <v>6</v>
      </c>
      <c r="L140" s="12">
        <f t="shared" si="13"/>
        <v>0.68799999999999994</v>
      </c>
      <c r="M140" s="13">
        <f t="shared" si="14"/>
        <v>688</v>
      </c>
      <c r="N140" s="15"/>
    </row>
    <row r="141" spans="1:14" s="5" customFormat="1" ht="12">
      <c r="A141" s="40" t="s">
        <v>144</v>
      </c>
      <c r="B141" s="40" t="s">
        <v>1817</v>
      </c>
      <c r="C141" s="97">
        <v>338</v>
      </c>
      <c r="D141" s="97">
        <v>320</v>
      </c>
      <c r="E141" s="97">
        <v>244</v>
      </c>
      <c r="F141" s="97">
        <v>46</v>
      </c>
      <c r="G141" s="97">
        <v>329</v>
      </c>
      <c r="H141" s="97">
        <v>131</v>
      </c>
      <c r="I141" s="98"/>
      <c r="J141" s="10">
        <f t="shared" si="12"/>
        <v>2.028</v>
      </c>
      <c r="K141" s="11">
        <v>6</v>
      </c>
      <c r="L141" s="12">
        <f t="shared" si="13"/>
        <v>0.33800000000000002</v>
      </c>
      <c r="M141" s="13">
        <f t="shared" si="14"/>
        <v>338</v>
      </c>
      <c r="N141" s="15"/>
    </row>
    <row r="142" spans="1:14" s="5" customFormat="1" ht="12">
      <c r="A142" s="40" t="s">
        <v>144</v>
      </c>
      <c r="B142" s="40" t="s">
        <v>1828</v>
      </c>
      <c r="C142" s="97">
        <v>1110</v>
      </c>
      <c r="D142" s="97">
        <v>1102</v>
      </c>
      <c r="E142" s="97">
        <v>923</v>
      </c>
      <c r="F142" s="97">
        <v>245</v>
      </c>
      <c r="G142" s="97">
        <v>1095</v>
      </c>
      <c r="H142" s="97">
        <v>551</v>
      </c>
      <c r="I142" s="98"/>
      <c r="J142" s="10">
        <f t="shared" si="12"/>
        <v>6.66</v>
      </c>
      <c r="K142" s="11">
        <v>6</v>
      </c>
      <c r="L142" s="12">
        <f t="shared" si="13"/>
        <v>1.1100000000000001</v>
      </c>
      <c r="M142" s="13">
        <f t="shared" si="14"/>
        <v>1110</v>
      </c>
      <c r="N142" s="15"/>
    </row>
    <row r="143" spans="1:14" s="5" customFormat="1" ht="12">
      <c r="A143" s="40" t="s">
        <v>369</v>
      </c>
      <c r="B143" s="40" t="s">
        <v>370</v>
      </c>
      <c r="C143" s="97">
        <v>737</v>
      </c>
      <c r="D143" s="97">
        <v>707</v>
      </c>
      <c r="E143" s="97">
        <v>573</v>
      </c>
      <c r="F143" s="97">
        <v>173</v>
      </c>
      <c r="G143" s="97">
        <v>714</v>
      </c>
      <c r="H143" s="97">
        <v>405</v>
      </c>
      <c r="I143" s="98"/>
      <c r="J143" s="10">
        <f t="shared" si="12"/>
        <v>4.4219999999999997</v>
      </c>
      <c r="K143" s="11">
        <v>6</v>
      </c>
      <c r="L143" s="12">
        <f t="shared" si="13"/>
        <v>0.73699999999999999</v>
      </c>
      <c r="M143" s="13">
        <f t="shared" si="14"/>
        <v>737</v>
      </c>
      <c r="N143" s="15"/>
    </row>
    <row r="144" spans="1:14" s="5" customFormat="1" ht="12">
      <c r="A144" s="40" t="s">
        <v>369</v>
      </c>
      <c r="B144" s="40" t="s">
        <v>568</v>
      </c>
      <c r="C144" s="97">
        <v>663</v>
      </c>
      <c r="D144" s="97">
        <v>649</v>
      </c>
      <c r="E144" s="97">
        <v>526</v>
      </c>
      <c r="F144" s="97">
        <v>118</v>
      </c>
      <c r="G144" s="97">
        <v>652</v>
      </c>
      <c r="H144" s="97">
        <v>344</v>
      </c>
      <c r="I144" s="98"/>
      <c r="J144" s="10">
        <f t="shared" si="12"/>
        <v>3.9780000000000002</v>
      </c>
      <c r="K144" s="11">
        <v>6</v>
      </c>
      <c r="L144" s="12">
        <f t="shared" si="13"/>
        <v>0.66300000000000003</v>
      </c>
      <c r="M144" s="13">
        <f t="shared" si="14"/>
        <v>663</v>
      </c>
      <c r="N144" s="15"/>
    </row>
    <row r="145" spans="1:14" s="5" customFormat="1" ht="12">
      <c r="A145" s="40" t="s">
        <v>369</v>
      </c>
      <c r="B145" s="40" t="s">
        <v>578</v>
      </c>
      <c r="C145" s="97">
        <v>343</v>
      </c>
      <c r="D145" s="97">
        <v>336</v>
      </c>
      <c r="E145" s="97">
        <v>289</v>
      </c>
      <c r="F145" s="97">
        <v>108</v>
      </c>
      <c r="G145" s="97">
        <v>330</v>
      </c>
      <c r="H145" s="97">
        <v>216</v>
      </c>
      <c r="I145" s="98"/>
      <c r="J145" s="10">
        <f t="shared" si="12"/>
        <v>2.0580000000000003</v>
      </c>
      <c r="K145" s="11">
        <v>6</v>
      </c>
      <c r="L145" s="12">
        <f t="shared" si="13"/>
        <v>0.34300000000000003</v>
      </c>
      <c r="M145" s="13">
        <f t="shared" si="14"/>
        <v>343</v>
      </c>
      <c r="N145" s="15"/>
    </row>
    <row r="146" spans="1:14" s="5" customFormat="1" ht="12">
      <c r="A146" s="40" t="s">
        <v>369</v>
      </c>
      <c r="B146" s="40" t="s">
        <v>715</v>
      </c>
      <c r="C146" s="97">
        <v>1956</v>
      </c>
      <c r="D146" s="97">
        <v>1954</v>
      </c>
      <c r="E146" s="97">
        <v>1609</v>
      </c>
      <c r="F146" s="97">
        <v>500</v>
      </c>
      <c r="G146" s="97">
        <v>1915</v>
      </c>
      <c r="H146" s="97">
        <v>1149</v>
      </c>
      <c r="I146" s="98"/>
      <c r="J146" s="10">
        <f t="shared" si="12"/>
        <v>11.736000000000001</v>
      </c>
      <c r="K146" s="11">
        <v>6</v>
      </c>
      <c r="L146" s="12">
        <f t="shared" si="13"/>
        <v>1.956</v>
      </c>
      <c r="M146" s="13">
        <f t="shared" si="14"/>
        <v>1956</v>
      </c>
      <c r="N146" s="15"/>
    </row>
    <row r="147" spans="1:14" s="5" customFormat="1" ht="12">
      <c r="A147" s="40" t="s">
        <v>369</v>
      </c>
      <c r="B147" s="40" t="s">
        <v>763</v>
      </c>
      <c r="C147" s="97">
        <v>665</v>
      </c>
      <c r="D147" s="97">
        <v>653</v>
      </c>
      <c r="E147" s="97">
        <v>524</v>
      </c>
      <c r="F147" s="97">
        <v>145</v>
      </c>
      <c r="G147" s="97">
        <v>651</v>
      </c>
      <c r="H147" s="97">
        <v>332</v>
      </c>
      <c r="I147" s="98"/>
      <c r="J147" s="10">
        <f t="shared" si="12"/>
        <v>3.99</v>
      </c>
      <c r="K147" s="11">
        <v>6</v>
      </c>
      <c r="L147" s="12">
        <f t="shared" si="13"/>
        <v>0.66500000000000004</v>
      </c>
      <c r="M147" s="13">
        <f t="shared" si="14"/>
        <v>665</v>
      </c>
      <c r="N147" s="15"/>
    </row>
    <row r="148" spans="1:14" s="5" customFormat="1" ht="12">
      <c r="A148" s="40" t="s">
        <v>369</v>
      </c>
      <c r="B148" s="40" t="s">
        <v>779</v>
      </c>
      <c r="C148" s="97">
        <v>373</v>
      </c>
      <c r="D148" s="97">
        <v>358</v>
      </c>
      <c r="E148" s="97">
        <v>256</v>
      </c>
      <c r="F148" s="97">
        <v>89</v>
      </c>
      <c r="G148" s="97">
        <v>368</v>
      </c>
      <c r="H148" s="97">
        <v>190</v>
      </c>
      <c r="I148" s="98"/>
      <c r="J148" s="10">
        <f t="shared" si="12"/>
        <v>2.238</v>
      </c>
      <c r="K148" s="11">
        <v>6</v>
      </c>
      <c r="L148" s="12">
        <f t="shared" si="13"/>
        <v>0.373</v>
      </c>
      <c r="M148" s="13">
        <f t="shared" si="14"/>
        <v>373</v>
      </c>
      <c r="N148" s="15"/>
    </row>
    <row r="149" spans="1:14" s="5" customFormat="1" ht="12">
      <c r="A149" s="40" t="s">
        <v>369</v>
      </c>
      <c r="B149" s="40" t="s">
        <v>870</v>
      </c>
      <c r="C149" s="97">
        <v>1218</v>
      </c>
      <c r="D149" s="97">
        <v>1202</v>
      </c>
      <c r="E149" s="97">
        <v>935</v>
      </c>
      <c r="F149" s="97">
        <v>252</v>
      </c>
      <c r="G149" s="97">
        <v>1170</v>
      </c>
      <c r="H149" s="97">
        <v>604</v>
      </c>
      <c r="I149" s="98"/>
      <c r="J149" s="10">
        <f t="shared" si="12"/>
        <v>7.3079999999999998</v>
      </c>
      <c r="K149" s="11">
        <v>6</v>
      </c>
      <c r="L149" s="12">
        <f t="shared" si="13"/>
        <v>1.218</v>
      </c>
      <c r="M149" s="13">
        <f t="shared" si="14"/>
        <v>1218</v>
      </c>
      <c r="N149" s="15"/>
    </row>
    <row r="150" spans="1:14" s="5" customFormat="1" ht="12">
      <c r="A150" s="40" t="s">
        <v>369</v>
      </c>
      <c r="B150" s="40" t="s">
        <v>1027</v>
      </c>
      <c r="C150" s="97">
        <v>430</v>
      </c>
      <c r="D150" s="97">
        <v>424</v>
      </c>
      <c r="E150" s="97">
        <v>369</v>
      </c>
      <c r="F150" s="97">
        <v>144</v>
      </c>
      <c r="G150" s="97">
        <v>417</v>
      </c>
      <c r="H150" s="97">
        <v>303</v>
      </c>
      <c r="I150" s="98"/>
      <c r="J150" s="10">
        <f t="shared" ref="J150:J181" si="15">+K150*L150</f>
        <v>2.58</v>
      </c>
      <c r="K150" s="11">
        <v>6</v>
      </c>
      <c r="L150" s="12">
        <f t="shared" ref="L150:L181" si="16">+M150/1000</f>
        <v>0.43</v>
      </c>
      <c r="M150" s="13">
        <f t="shared" ref="M150:M181" si="17">+C150</f>
        <v>430</v>
      </c>
      <c r="N150" s="15"/>
    </row>
    <row r="151" spans="1:14" s="5" customFormat="1" ht="12">
      <c r="A151" s="40" t="s">
        <v>369</v>
      </c>
      <c r="B151" s="40" t="s">
        <v>1112</v>
      </c>
      <c r="C151" s="97">
        <v>400</v>
      </c>
      <c r="D151" s="97">
        <v>389</v>
      </c>
      <c r="E151" s="97">
        <v>293</v>
      </c>
      <c r="F151" s="97">
        <v>110</v>
      </c>
      <c r="G151" s="97">
        <v>392</v>
      </c>
      <c r="H151" s="97">
        <v>243</v>
      </c>
      <c r="I151" s="98"/>
      <c r="J151" s="10">
        <f t="shared" si="15"/>
        <v>2.4000000000000004</v>
      </c>
      <c r="K151" s="11">
        <v>6</v>
      </c>
      <c r="L151" s="12">
        <f t="shared" si="16"/>
        <v>0.4</v>
      </c>
      <c r="M151" s="13">
        <f t="shared" si="17"/>
        <v>400</v>
      </c>
      <c r="N151" s="15"/>
    </row>
    <row r="152" spans="1:14" s="5" customFormat="1" ht="12">
      <c r="A152" s="40" t="s">
        <v>369</v>
      </c>
      <c r="B152" s="40" t="s">
        <v>1260</v>
      </c>
      <c r="C152" s="97">
        <v>576</v>
      </c>
      <c r="D152" s="97">
        <v>561</v>
      </c>
      <c r="E152" s="97">
        <v>439</v>
      </c>
      <c r="F152" s="97">
        <v>104</v>
      </c>
      <c r="G152" s="97">
        <v>569</v>
      </c>
      <c r="H152" s="97">
        <v>284</v>
      </c>
      <c r="I152" s="98"/>
      <c r="J152" s="10">
        <f t="shared" si="15"/>
        <v>3.4559999999999995</v>
      </c>
      <c r="K152" s="11">
        <v>6</v>
      </c>
      <c r="L152" s="12">
        <f t="shared" si="16"/>
        <v>0.57599999999999996</v>
      </c>
      <c r="M152" s="13">
        <f t="shared" si="17"/>
        <v>576</v>
      </c>
      <c r="N152" s="15"/>
    </row>
    <row r="153" spans="1:14" s="5" customFormat="1" ht="12">
      <c r="A153" s="40" t="s">
        <v>369</v>
      </c>
      <c r="B153" s="40" t="s">
        <v>1285</v>
      </c>
      <c r="C153" s="97">
        <v>1987</v>
      </c>
      <c r="D153" s="97">
        <v>1964</v>
      </c>
      <c r="E153" s="97">
        <v>1697</v>
      </c>
      <c r="F153" s="97">
        <v>563</v>
      </c>
      <c r="G153" s="97">
        <v>1952</v>
      </c>
      <c r="H153" s="97">
        <v>1253</v>
      </c>
      <c r="I153" s="98"/>
      <c r="J153" s="10">
        <f t="shared" si="15"/>
        <v>11.922000000000001</v>
      </c>
      <c r="K153" s="11">
        <v>6</v>
      </c>
      <c r="L153" s="12">
        <f t="shared" si="16"/>
        <v>1.9870000000000001</v>
      </c>
      <c r="M153" s="13">
        <f t="shared" si="17"/>
        <v>1987</v>
      </c>
      <c r="N153" s="15"/>
    </row>
    <row r="154" spans="1:14" s="5" customFormat="1" ht="12">
      <c r="A154" s="40" t="s">
        <v>369</v>
      </c>
      <c r="B154" s="40" t="s">
        <v>1313</v>
      </c>
      <c r="C154" s="97">
        <v>874</v>
      </c>
      <c r="D154" s="97">
        <v>856</v>
      </c>
      <c r="E154" s="97">
        <v>679</v>
      </c>
      <c r="F154" s="97">
        <v>190</v>
      </c>
      <c r="G154" s="97">
        <v>852</v>
      </c>
      <c r="H154" s="97">
        <v>398</v>
      </c>
      <c r="I154" s="98"/>
      <c r="J154" s="10">
        <f t="shared" si="15"/>
        <v>5.2439999999999998</v>
      </c>
      <c r="K154" s="11">
        <v>6</v>
      </c>
      <c r="L154" s="12">
        <f t="shared" si="16"/>
        <v>0.874</v>
      </c>
      <c r="M154" s="13">
        <f t="shared" si="17"/>
        <v>874</v>
      </c>
      <c r="N154" s="15"/>
    </row>
    <row r="155" spans="1:14" s="5" customFormat="1" ht="12">
      <c r="A155" s="40" t="s">
        <v>369</v>
      </c>
      <c r="B155" s="40" t="s">
        <v>1418</v>
      </c>
      <c r="C155" s="97">
        <v>560</v>
      </c>
      <c r="D155" s="97">
        <v>539</v>
      </c>
      <c r="E155" s="97">
        <v>415</v>
      </c>
      <c r="F155" s="97">
        <v>120</v>
      </c>
      <c r="G155" s="97">
        <v>544</v>
      </c>
      <c r="H155" s="97">
        <v>295</v>
      </c>
      <c r="I155" s="98"/>
      <c r="J155" s="10">
        <f t="shared" si="15"/>
        <v>3.3600000000000003</v>
      </c>
      <c r="K155" s="11">
        <v>6</v>
      </c>
      <c r="L155" s="12">
        <f t="shared" si="16"/>
        <v>0.56000000000000005</v>
      </c>
      <c r="M155" s="13">
        <f t="shared" si="17"/>
        <v>560</v>
      </c>
      <c r="N155" s="15"/>
    </row>
    <row r="156" spans="1:14" s="5" customFormat="1" ht="12">
      <c r="A156" s="40" t="s">
        <v>369</v>
      </c>
      <c r="B156" s="40" t="s">
        <v>1552</v>
      </c>
      <c r="C156" s="97">
        <v>366</v>
      </c>
      <c r="D156" s="97">
        <v>353</v>
      </c>
      <c r="E156" s="97">
        <v>268</v>
      </c>
      <c r="F156" s="97">
        <v>76</v>
      </c>
      <c r="G156" s="97">
        <v>360</v>
      </c>
      <c r="H156" s="97">
        <v>167</v>
      </c>
      <c r="I156" s="98"/>
      <c r="J156" s="10">
        <f t="shared" si="15"/>
        <v>2.1959999999999997</v>
      </c>
      <c r="K156" s="11">
        <v>6</v>
      </c>
      <c r="L156" s="12">
        <f t="shared" si="16"/>
        <v>0.36599999999999999</v>
      </c>
      <c r="M156" s="13">
        <f t="shared" si="17"/>
        <v>366</v>
      </c>
      <c r="N156" s="15"/>
    </row>
    <row r="157" spans="1:14" s="5" customFormat="1" ht="12">
      <c r="A157" s="40" t="s">
        <v>369</v>
      </c>
      <c r="B157" s="40" t="s">
        <v>1586</v>
      </c>
      <c r="C157" s="97">
        <v>356</v>
      </c>
      <c r="D157" s="97">
        <v>345</v>
      </c>
      <c r="E157" s="97">
        <v>295</v>
      </c>
      <c r="F157" s="97">
        <v>78</v>
      </c>
      <c r="G157" s="97">
        <v>345</v>
      </c>
      <c r="H157" s="97">
        <v>192</v>
      </c>
      <c r="I157" s="98"/>
      <c r="J157" s="10">
        <f t="shared" si="15"/>
        <v>2.1360000000000001</v>
      </c>
      <c r="K157" s="11">
        <v>6</v>
      </c>
      <c r="L157" s="12">
        <f t="shared" si="16"/>
        <v>0.35599999999999998</v>
      </c>
      <c r="M157" s="13">
        <f t="shared" si="17"/>
        <v>356</v>
      </c>
      <c r="N157" s="15"/>
    </row>
    <row r="158" spans="1:14" s="5" customFormat="1" ht="12">
      <c r="A158" s="40" t="s">
        <v>369</v>
      </c>
      <c r="B158" s="40" t="s">
        <v>1657</v>
      </c>
      <c r="C158" s="97">
        <v>488</v>
      </c>
      <c r="D158" s="97">
        <v>478</v>
      </c>
      <c r="E158" s="97">
        <v>368</v>
      </c>
      <c r="F158" s="97">
        <v>110</v>
      </c>
      <c r="G158" s="97">
        <v>481</v>
      </c>
      <c r="H158" s="97">
        <v>246</v>
      </c>
      <c r="I158" s="98"/>
      <c r="J158" s="10">
        <f t="shared" si="15"/>
        <v>2.9279999999999999</v>
      </c>
      <c r="K158" s="11">
        <v>6</v>
      </c>
      <c r="L158" s="12">
        <f t="shared" si="16"/>
        <v>0.48799999999999999</v>
      </c>
      <c r="M158" s="13">
        <f t="shared" si="17"/>
        <v>488</v>
      </c>
      <c r="N158" s="15"/>
    </row>
    <row r="159" spans="1:14" s="5" customFormat="1" ht="12">
      <c r="A159" s="40" t="s">
        <v>369</v>
      </c>
      <c r="B159" s="40" t="s">
        <v>1697</v>
      </c>
      <c r="C159" s="97">
        <v>459</v>
      </c>
      <c r="D159" s="97">
        <v>452</v>
      </c>
      <c r="E159" s="97">
        <v>373</v>
      </c>
      <c r="F159" s="97">
        <v>146</v>
      </c>
      <c r="G159" s="97">
        <v>450</v>
      </c>
      <c r="H159" s="97">
        <v>307</v>
      </c>
      <c r="I159" s="98"/>
      <c r="J159" s="10">
        <f t="shared" si="15"/>
        <v>2.754</v>
      </c>
      <c r="K159" s="11">
        <v>6</v>
      </c>
      <c r="L159" s="12">
        <f t="shared" si="16"/>
        <v>0.45900000000000002</v>
      </c>
      <c r="M159" s="13">
        <f t="shared" si="17"/>
        <v>459</v>
      </c>
      <c r="N159" s="15"/>
    </row>
    <row r="160" spans="1:14" s="5" customFormat="1" ht="12">
      <c r="A160" s="40" t="s">
        <v>369</v>
      </c>
      <c r="B160" s="40" t="s">
        <v>1715</v>
      </c>
      <c r="C160" s="97">
        <v>356</v>
      </c>
      <c r="D160" s="97">
        <v>349</v>
      </c>
      <c r="E160" s="97">
        <v>265</v>
      </c>
      <c r="F160" s="97">
        <v>82</v>
      </c>
      <c r="G160" s="97">
        <v>349</v>
      </c>
      <c r="H160" s="97">
        <v>209</v>
      </c>
      <c r="I160" s="98"/>
      <c r="J160" s="10">
        <f t="shared" si="15"/>
        <v>2.1360000000000001</v>
      </c>
      <c r="K160" s="11">
        <v>6</v>
      </c>
      <c r="L160" s="12">
        <f t="shared" si="16"/>
        <v>0.35599999999999998</v>
      </c>
      <c r="M160" s="13">
        <f t="shared" si="17"/>
        <v>356</v>
      </c>
      <c r="N160" s="15"/>
    </row>
    <row r="161" spans="1:16" s="5" customFormat="1" ht="12">
      <c r="A161" s="40" t="s">
        <v>369</v>
      </c>
      <c r="B161" s="40" t="s">
        <v>1721</v>
      </c>
      <c r="C161" s="97">
        <v>1018</v>
      </c>
      <c r="D161" s="97">
        <v>995</v>
      </c>
      <c r="E161" s="97">
        <v>782</v>
      </c>
      <c r="F161" s="97">
        <v>195</v>
      </c>
      <c r="G161" s="97">
        <v>998</v>
      </c>
      <c r="H161" s="97">
        <v>496</v>
      </c>
      <c r="I161" s="98"/>
      <c r="J161" s="10">
        <f t="shared" si="15"/>
        <v>6.1080000000000005</v>
      </c>
      <c r="K161" s="11">
        <v>6</v>
      </c>
      <c r="L161" s="12">
        <f t="shared" si="16"/>
        <v>1.018</v>
      </c>
      <c r="M161" s="13">
        <f t="shared" si="17"/>
        <v>1018</v>
      </c>
      <c r="N161" s="15"/>
    </row>
    <row r="162" spans="1:16" s="5" customFormat="1" ht="12">
      <c r="A162" s="40" t="s">
        <v>369</v>
      </c>
      <c r="B162" s="40" t="s">
        <v>1725</v>
      </c>
      <c r="C162" s="97">
        <v>359</v>
      </c>
      <c r="D162" s="97">
        <v>348</v>
      </c>
      <c r="E162" s="97">
        <v>305</v>
      </c>
      <c r="F162" s="97">
        <v>75</v>
      </c>
      <c r="G162" s="97">
        <v>356</v>
      </c>
      <c r="H162" s="97">
        <v>179</v>
      </c>
      <c r="I162" s="98"/>
      <c r="J162" s="10">
        <f t="shared" si="15"/>
        <v>2.1539999999999999</v>
      </c>
      <c r="K162" s="11">
        <v>6</v>
      </c>
      <c r="L162" s="12">
        <f t="shared" si="16"/>
        <v>0.35899999999999999</v>
      </c>
      <c r="M162" s="13">
        <f t="shared" si="17"/>
        <v>359</v>
      </c>
      <c r="N162" s="15"/>
    </row>
    <row r="163" spans="1:16" s="5" customFormat="1" ht="12">
      <c r="A163" s="40" t="s">
        <v>369</v>
      </c>
      <c r="B163" s="40" t="s">
        <v>1748</v>
      </c>
      <c r="C163" s="97">
        <v>407</v>
      </c>
      <c r="D163" s="97">
        <v>398</v>
      </c>
      <c r="E163" s="97">
        <v>339</v>
      </c>
      <c r="F163" s="97">
        <v>88</v>
      </c>
      <c r="G163" s="97">
        <v>394</v>
      </c>
      <c r="H163" s="97">
        <v>227</v>
      </c>
      <c r="I163" s="98"/>
      <c r="J163" s="10">
        <f t="shared" si="15"/>
        <v>2.4419999999999997</v>
      </c>
      <c r="K163" s="11">
        <v>6</v>
      </c>
      <c r="L163" s="12">
        <f t="shared" si="16"/>
        <v>0.40699999999999997</v>
      </c>
      <c r="M163" s="13">
        <f t="shared" si="17"/>
        <v>407</v>
      </c>
      <c r="N163" s="15"/>
    </row>
    <row r="164" spans="1:16" s="5" customFormat="1" ht="12">
      <c r="A164" s="40" t="s">
        <v>369</v>
      </c>
      <c r="B164" s="40" t="s">
        <v>1757</v>
      </c>
      <c r="C164" s="97">
        <v>550</v>
      </c>
      <c r="D164" s="97">
        <v>536</v>
      </c>
      <c r="E164" s="97">
        <v>403</v>
      </c>
      <c r="F164" s="97">
        <v>104</v>
      </c>
      <c r="G164" s="97">
        <v>547</v>
      </c>
      <c r="H164" s="97">
        <v>301</v>
      </c>
      <c r="I164" s="98"/>
      <c r="J164" s="10">
        <f t="shared" si="15"/>
        <v>3.3000000000000003</v>
      </c>
      <c r="K164" s="11">
        <v>6</v>
      </c>
      <c r="L164" s="12">
        <f t="shared" si="16"/>
        <v>0.55000000000000004</v>
      </c>
      <c r="M164" s="13">
        <f t="shared" si="17"/>
        <v>550</v>
      </c>
      <c r="N164" s="15"/>
    </row>
    <row r="165" spans="1:16" s="2" customFormat="1" ht="12">
      <c r="A165" s="40" t="s">
        <v>146</v>
      </c>
      <c r="B165" s="40" t="s">
        <v>147</v>
      </c>
      <c r="C165" s="97">
        <v>309</v>
      </c>
      <c r="D165" s="97">
        <v>293</v>
      </c>
      <c r="E165" s="97">
        <v>180</v>
      </c>
      <c r="F165" s="97">
        <v>46</v>
      </c>
      <c r="G165" s="97">
        <v>299</v>
      </c>
      <c r="H165" s="97">
        <v>137</v>
      </c>
      <c r="I165" s="98"/>
      <c r="J165" s="10">
        <f t="shared" si="15"/>
        <v>1.8540000000000001</v>
      </c>
      <c r="K165" s="11">
        <v>6</v>
      </c>
      <c r="L165" s="12">
        <f t="shared" si="16"/>
        <v>0.309</v>
      </c>
      <c r="M165" s="13">
        <f t="shared" si="17"/>
        <v>309</v>
      </c>
      <c r="N165" s="15"/>
      <c r="O165" s="5"/>
      <c r="P165" s="5"/>
    </row>
    <row r="166" spans="1:16" s="2" customFormat="1" ht="12">
      <c r="A166" s="40" t="s">
        <v>146</v>
      </c>
      <c r="B166" s="40" t="s">
        <v>174</v>
      </c>
      <c r="C166" s="97">
        <v>686</v>
      </c>
      <c r="D166" s="97">
        <v>669</v>
      </c>
      <c r="E166" s="97">
        <v>516</v>
      </c>
      <c r="F166" s="97">
        <v>174</v>
      </c>
      <c r="G166" s="97">
        <v>677</v>
      </c>
      <c r="H166" s="97">
        <v>370</v>
      </c>
      <c r="I166" s="98"/>
      <c r="J166" s="10">
        <f t="shared" si="15"/>
        <v>4.1160000000000005</v>
      </c>
      <c r="K166" s="11">
        <v>6</v>
      </c>
      <c r="L166" s="12">
        <f t="shared" si="16"/>
        <v>0.68600000000000005</v>
      </c>
      <c r="M166" s="13">
        <f t="shared" si="17"/>
        <v>686</v>
      </c>
      <c r="N166" s="15"/>
      <c r="O166" s="5"/>
      <c r="P166" s="5"/>
    </row>
    <row r="167" spans="1:16" s="5" customFormat="1" ht="12">
      <c r="A167" s="40" t="s">
        <v>146</v>
      </c>
      <c r="B167" s="40" t="s">
        <v>225</v>
      </c>
      <c r="C167" s="97">
        <v>374</v>
      </c>
      <c r="D167" s="97">
        <v>355</v>
      </c>
      <c r="E167" s="97">
        <v>270</v>
      </c>
      <c r="F167" s="97">
        <v>79</v>
      </c>
      <c r="G167" s="97">
        <v>362</v>
      </c>
      <c r="H167" s="97">
        <v>185</v>
      </c>
      <c r="I167" s="98"/>
      <c r="J167" s="10">
        <f t="shared" si="15"/>
        <v>2.2439999999999998</v>
      </c>
      <c r="K167" s="11">
        <v>6</v>
      </c>
      <c r="L167" s="12">
        <f t="shared" si="16"/>
        <v>0.374</v>
      </c>
      <c r="M167" s="13">
        <f t="shared" si="17"/>
        <v>374</v>
      </c>
      <c r="N167" s="15"/>
    </row>
    <row r="168" spans="1:16" s="5" customFormat="1" ht="12">
      <c r="A168" s="40" t="s">
        <v>146</v>
      </c>
      <c r="B168" s="40" t="s">
        <v>245</v>
      </c>
      <c r="C168" s="97">
        <v>1896</v>
      </c>
      <c r="D168" s="97">
        <v>1869</v>
      </c>
      <c r="E168" s="97">
        <v>1565</v>
      </c>
      <c r="F168" s="97">
        <v>414</v>
      </c>
      <c r="G168" s="97">
        <v>1855</v>
      </c>
      <c r="H168" s="97">
        <v>1035</v>
      </c>
      <c r="I168" s="98"/>
      <c r="J168" s="10">
        <f t="shared" si="15"/>
        <v>11.375999999999999</v>
      </c>
      <c r="K168" s="11">
        <v>6</v>
      </c>
      <c r="L168" s="12">
        <f t="shared" si="16"/>
        <v>1.8959999999999999</v>
      </c>
      <c r="M168" s="13">
        <f t="shared" si="17"/>
        <v>1896</v>
      </c>
      <c r="N168" s="15"/>
    </row>
    <row r="169" spans="1:16" s="5" customFormat="1" ht="12">
      <c r="A169" s="40" t="s">
        <v>146</v>
      </c>
      <c r="B169" s="40" t="s">
        <v>246</v>
      </c>
      <c r="C169" s="97">
        <v>307</v>
      </c>
      <c r="D169" s="97">
        <v>298</v>
      </c>
      <c r="E169" s="97">
        <v>245</v>
      </c>
      <c r="F169" s="97">
        <v>81</v>
      </c>
      <c r="G169" s="97">
        <v>300</v>
      </c>
      <c r="H169" s="97">
        <v>163</v>
      </c>
      <c r="I169" s="98"/>
      <c r="J169" s="10">
        <f t="shared" si="15"/>
        <v>1.8420000000000001</v>
      </c>
      <c r="K169" s="11">
        <v>6</v>
      </c>
      <c r="L169" s="12">
        <f t="shared" si="16"/>
        <v>0.307</v>
      </c>
      <c r="M169" s="13">
        <f t="shared" si="17"/>
        <v>307</v>
      </c>
      <c r="N169" s="15"/>
    </row>
    <row r="170" spans="1:16" s="5" customFormat="1" ht="12">
      <c r="A170" s="40" t="s">
        <v>146</v>
      </c>
      <c r="B170" s="40" t="s">
        <v>489</v>
      </c>
      <c r="C170" s="97">
        <v>2084</v>
      </c>
      <c r="D170" s="97">
        <v>2038</v>
      </c>
      <c r="E170" s="97">
        <v>1716</v>
      </c>
      <c r="F170" s="97">
        <v>500</v>
      </c>
      <c r="G170" s="97">
        <v>2046</v>
      </c>
      <c r="H170" s="97">
        <v>1156</v>
      </c>
      <c r="I170" s="98"/>
      <c r="J170" s="10">
        <f t="shared" si="15"/>
        <v>12.504000000000001</v>
      </c>
      <c r="K170" s="11">
        <v>6</v>
      </c>
      <c r="L170" s="12">
        <f t="shared" si="16"/>
        <v>2.0840000000000001</v>
      </c>
      <c r="M170" s="13">
        <f t="shared" si="17"/>
        <v>2084</v>
      </c>
      <c r="N170" s="15"/>
    </row>
    <row r="171" spans="1:16" s="5" customFormat="1" ht="12">
      <c r="A171" s="40" t="s">
        <v>146</v>
      </c>
      <c r="B171" s="40" t="s">
        <v>490</v>
      </c>
      <c r="C171" s="97">
        <v>1376</v>
      </c>
      <c r="D171" s="97">
        <v>1355</v>
      </c>
      <c r="E171" s="97">
        <v>1076</v>
      </c>
      <c r="F171" s="97">
        <v>319</v>
      </c>
      <c r="G171" s="97">
        <v>1343</v>
      </c>
      <c r="H171" s="97">
        <v>751</v>
      </c>
      <c r="I171" s="98"/>
      <c r="J171" s="10">
        <f t="shared" si="15"/>
        <v>8.2560000000000002</v>
      </c>
      <c r="K171" s="11">
        <v>6</v>
      </c>
      <c r="L171" s="12">
        <f t="shared" si="16"/>
        <v>1.3759999999999999</v>
      </c>
      <c r="M171" s="13">
        <f t="shared" si="17"/>
        <v>1376</v>
      </c>
      <c r="N171" s="15"/>
    </row>
    <row r="172" spans="1:16" s="5" customFormat="1" ht="12">
      <c r="A172" s="40" t="s">
        <v>146</v>
      </c>
      <c r="B172" s="40" t="s">
        <v>508</v>
      </c>
      <c r="C172" s="97">
        <v>367</v>
      </c>
      <c r="D172" s="97">
        <v>358</v>
      </c>
      <c r="E172" s="97">
        <v>271</v>
      </c>
      <c r="F172" s="97">
        <v>78</v>
      </c>
      <c r="G172" s="97">
        <v>348</v>
      </c>
      <c r="H172" s="97">
        <v>186</v>
      </c>
      <c r="I172" s="98"/>
      <c r="J172" s="10">
        <f t="shared" si="15"/>
        <v>2.202</v>
      </c>
      <c r="K172" s="11">
        <v>6</v>
      </c>
      <c r="L172" s="12">
        <f t="shared" si="16"/>
        <v>0.36699999999999999</v>
      </c>
      <c r="M172" s="13">
        <f t="shared" si="17"/>
        <v>367</v>
      </c>
      <c r="N172" s="15"/>
    </row>
    <row r="173" spans="1:16" s="5" customFormat="1" ht="12">
      <c r="A173" s="40" t="s">
        <v>146</v>
      </c>
      <c r="B173" s="40" t="s">
        <v>541</v>
      </c>
      <c r="C173" s="97">
        <v>338</v>
      </c>
      <c r="D173" s="97">
        <v>316</v>
      </c>
      <c r="E173" s="97">
        <v>255</v>
      </c>
      <c r="F173" s="97">
        <v>91</v>
      </c>
      <c r="G173" s="97">
        <v>322</v>
      </c>
      <c r="H173" s="97">
        <v>200</v>
      </c>
      <c r="I173" s="98"/>
      <c r="J173" s="10">
        <f t="shared" si="15"/>
        <v>2.028</v>
      </c>
      <c r="K173" s="11">
        <v>6</v>
      </c>
      <c r="L173" s="12">
        <f t="shared" si="16"/>
        <v>0.33800000000000002</v>
      </c>
      <c r="M173" s="13">
        <f t="shared" si="17"/>
        <v>338</v>
      </c>
      <c r="N173" s="15"/>
    </row>
    <row r="174" spans="1:16" s="5" customFormat="1" ht="12">
      <c r="A174" s="40" t="s">
        <v>146</v>
      </c>
      <c r="B174" s="40" t="s">
        <v>1944</v>
      </c>
      <c r="C174" s="97">
        <v>906</v>
      </c>
      <c r="D174" s="97">
        <v>889</v>
      </c>
      <c r="E174" s="97">
        <v>713</v>
      </c>
      <c r="F174" s="97">
        <v>223</v>
      </c>
      <c r="G174" s="97">
        <v>880</v>
      </c>
      <c r="H174" s="97">
        <v>498</v>
      </c>
      <c r="I174" s="98"/>
      <c r="J174" s="10">
        <f t="shared" si="15"/>
        <v>5.4359999999999999</v>
      </c>
      <c r="K174" s="11">
        <v>6</v>
      </c>
      <c r="L174" s="12">
        <f t="shared" si="16"/>
        <v>0.90600000000000003</v>
      </c>
      <c r="M174" s="13">
        <f t="shared" si="17"/>
        <v>906</v>
      </c>
      <c r="N174" s="15"/>
    </row>
    <row r="175" spans="1:16" s="5" customFormat="1" ht="12">
      <c r="A175" s="40" t="s">
        <v>146</v>
      </c>
      <c r="B175" s="40" t="s">
        <v>1010</v>
      </c>
      <c r="C175" s="97">
        <v>443</v>
      </c>
      <c r="D175" s="97">
        <v>437</v>
      </c>
      <c r="E175" s="97">
        <v>319</v>
      </c>
      <c r="F175" s="97">
        <v>76</v>
      </c>
      <c r="G175" s="97">
        <v>432</v>
      </c>
      <c r="H175" s="97">
        <v>195</v>
      </c>
      <c r="I175" s="98"/>
      <c r="J175" s="10">
        <f t="shared" si="15"/>
        <v>2.6579999999999999</v>
      </c>
      <c r="K175" s="11">
        <v>6</v>
      </c>
      <c r="L175" s="12">
        <f t="shared" si="16"/>
        <v>0.443</v>
      </c>
      <c r="M175" s="13">
        <f t="shared" si="17"/>
        <v>443</v>
      </c>
      <c r="N175" s="15"/>
    </row>
    <row r="176" spans="1:16" s="5" customFormat="1" ht="12">
      <c r="A176" s="65" t="s">
        <v>146</v>
      </c>
      <c r="B176" s="65" t="s">
        <v>1086</v>
      </c>
      <c r="C176" s="97">
        <v>780</v>
      </c>
      <c r="D176" s="97">
        <v>767</v>
      </c>
      <c r="E176" s="97">
        <v>635</v>
      </c>
      <c r="F176" s="97">
        <v>210</v>
      </c>
      <c r="G176" s="97">
        <v>764</v>
      </c>
      <c r="H176" s="97">
        <v>463</v>
      </c>
      <c r="I176" s="102"/>
      <c r="J176" s="10">
        <f t="shared" si="15"/>
        <v>4.68</v>
      </c>
      <c r="K176" s="36">
        <v>6</v>
      </c>
      <c r="L176" s="37">
        <f t="shared" si="16"/>
        <v>0.78</v>
      </c>
      <c r="M176" s="38">
        <f t="shared" si="17"/>
        <v>780</v>
      </c>
      <c r="N176" s="35"/>
      <c r="O176" s="2"/>
      <c r="P176" s="2"/>
    </row>
    <row r="177" spans="1:16" s="5" customFormat="1" ht="12">
      <c r="A177" s="40" t="s">
        <v>146</v>
      </c>
      <c r="B177" s="40" t="s">
        <v>1174</v>
      </c>
      <c r="C177" s="97">
        <v>1919</v>
      </c>
      <c r="D177" s="97">
        <v>1906</v>
      </c>
      <c r="E177" s="97">
        <v>1591</v>
      </c>
      <c r="F177" s="97">
        <v>435</v>
      </c>
      <c r="G177" s="97">
        <v>1886</v>
      </c>
      <c r="H177" s="97">
        <v>1076</v>
      </c>
      <c r="I177" s="98"/>
      <c r="J177" s="10">
        <f t="shared" si="15"/>
        <v>11.513999999999999</v>
      </c>
      <c r="K177" s="11">
        <v>6</v>
      </c>
      <c r="L177" s="12">
        <f t="shared" si="16"/>
        <v>1.919</v>
      </c>
      <c r="M177" s="13">
        <f t="shared" si="17"/>
        <v>1919</v>
      </c>
      <c r="N177" s="15"/>
    </row>
    <row r="178" spans="1:16" s="5" customFormat="1" ht="12">
      <c r="A178" s="40" t="s">
        <v>146</v>
      </c>
      <c r="B178" s="40" t="s">
        <v>1390</v>
      </c>
      <c r="C178" s="97">
        <v>372</v>
      </c>
      <c r="D178" s="97">
        <v>365</v>
      </c>
      <c r="E178" s="97">
        <v>275</v>
      </c>
      <c r="F178" s="97">
        <v>102</v>
      </c>
      <c r="G178" s="97">
        <v>369</v>
      </c>
      <c r="H178" s="97">
        <v>202</v>
      </c>
      <c r="I178" s="98"/>
      <c r="J178" s="10">
        <f t="shared" si="15"/>
        <v>2.2320000000000002</v>
      </c>
      <c r="K178" s="11">
        <v>6</v>
      </c>
      <c r="L178" s="12">
        <f t="shared" si="16"/>
        <v>0.372</v>
      </c>
      <c r="M178" s="13">
        <f t="shared" si="17"/>
        <v>372</v>
      </c>
      <c r="N178" s="15"/>
    </row>
    <row r="179" spans="1:16" s="5" customFormat="1" ht="12">
      <c r="A179" s="40" t="s">
        <v>146</v>
      </c>
      <c r="B179" s="40" t="s">
        <v>1422</v>
      </c>
      <c r="C179" s="97">
        <v>864</v>
      </c>
      <c r="D179" s="97">
        <v>855</v>
      </c>
      <c r="E179" s="97">
        <v>715</v>
      </c>
      <c r="F179" s="97">
        <v>178</v>
      </c>
      <c r="G179" s="97">
        <v>850</v>
      </c>
      <c r="H179" s="97">
        <v>438</v>
      </c>
      <c r="I179" s="98"/>
      <c r="J179" s="10">
        <f t="shared" si="15"/>
        <v>5.1840000000000002</v>
      </c>
      <c r="K179" s="11">
        <v>6</v>
      </c>
      <c r="L179" s="12">
        <f t="shared" si="16"/>
        <v>0.86399999999999999</v>
      </c>
      <c r="M179" s="13">
        <f t="shared" si="17"/>
        <v>864</v>
      </c>
      <c r="N179" s="15"/>
    </row>
    <row r="180" spans="1:16" s="5" customFormat="1" ht="12">
      <c r="A180" s="40" t="s">
        <v>146</v>
      </c>
      <c r="B180" s="40" t="s">
        <v>1449</v>
      </c>
      <c r="C180" s="97">
        <v>1804</v>
      </c>
      <c r="D180" s="97">
        <v>1752</v>
      </c>
      <c r="E180" s="97">
        <v>1480</v>
      </c>
      <c r="F180" s="97">
        <v>456</v>
      </c>
      <c r="G180" s="97">
        <v>1783</v>
      </c>
      <c r="H180" s="97">
        <v>1050</v>
      </c>
      <c r="I180" s="98"/>
      <c r="J180" s="10">
        <f t="shared" si="15"/>
        <v>10.824</v>
      </c>
      <c r="K180" s="11">
        <v>6</v>
      </c>
      <c r="L180" s="12">
        <f t="shared" si="16"/>
        <v>1.804</v>
      </c>
      <c r="M180" s="13">
        <f t="shared" si="17"/>
        <v>1804</v>
      </c>
      <c r="N180" s="15"/>
    </row>
    <row r="181" spans="1:16" s="5" customFormat="1" ht="12">
      <c r="A181" s="40" t="s">
        <v>146</v>
      </c>
      <c r="B181" s="40" t="s">
        <v>1945</v>
      </c>
      <c r="C181" s="97">
        <v>1080</v>
      </c>
      <c r="D181" s="97">
        <v>1071</v>
      </c>
      <c r="E181" s="97">
        <v>796</v>
      </c>
      <c r="F181" s="97">
        <v>241</v>
      </c>
      <c r="G181" s="97">
        <v>1066</v>
      </c>
      <c r="H181" s="97">
        <v>566</v>
      </c>
      <c r="I181" s="98"/>
      <c r="J181" s="10">
        <f t="shared" si="15"/>
        <v>6.48</v>
      </c>
      <c r="K181" s="11">
        <v>6</v>
      </c>
      <c r="L181" s="12">
        <f t="shared" si="16"/>
        <v>1.08</v>
      </c>
      <c r="M181" s="13">
        <f t="shared" si="17"/>
        <v>1080</v>
      </c>
      <c r="N181" s="15"/>
    </row>
    <row r="182" spans="1:16" s="2" customFormat="1" ht="12">
      <c r="A182" s="40" t="s">
        <v>146</v>
      </c>
      <c r="B182" s="40" t="s">
        <v>1499</v>
      </c>
      <c r="C182" s="97">
        <v>1267</v>
      </c>
      <c r="D182" s="97">
        <v>1252</v>
      </c>
      <c r="E182" s="97">
        <v>940</v>
      </c>
      <c r="F182" s="97">
        <v>287</v>
      </c>
      <c r="G182" s="97">
        <v>1249</v>
      </c>
      <c r="H182" s="97">
        <v>659</v>
      </c>
      <c r="I182" s="98"/>
      <c r="J182" s="10">
        <f t="shared" ref="J182:J202" si="18">+K182*L182</f>
        <v>7.6019999999999994</v>
      </c>
      <c r="K182" s="11">
        <v>6</v>
      </c>
      <c r="L182" s="12">
        <f t="shared" ref="L182:L202" si="19">+M182/1000</f>
        <v>1.2669999999999999</v>
      </c>
      <c r="M182" s="13">
        <f t="shared" ref="M182:M202" si="20">+C182</f>
        <v>1267</v>
      </c>
      <c r="N182" s="15"/>
      <c r="O182" s="5"/>
      <c r="P182" s="5"/>
    </row>
    <row r="183" spans="1:16" s="5" customFormat="1" ht="12">
      <c r="A183" s="40" t="s">
        <v>146</v>
      </c>
      <c r="B183" s="40" t="s">
        <v>1730</v>
      </c>
      <c r="C183" s="97">
        <v>943</v>
      </c>
      <c r="D183" s="97">
        <v>929</v>
      </c>
      <c r="E183" s="97">
        <v>773</v>
      </c>
      <c r="F183" s="97">
        <v>231</v>
      </c>
      <c r="G183" s="97">
        <v>916</v>
      </c>
      <c r="H183" s="97">
        <v>515</v>
      </c>
      <c r="I183" s="98"/>
      <c r="J183" s="10">
        <f t="shared" si="18"/>
        <v>5.6579999999999995</v>
      </c>
      <c r="K183" s="11">
        <v>6</v>
      </c>
      <c r="L183" s="12">
        <f t="shared" si="19"/>
        <v>0.94299999999999995</v>
      </c>
      <c r="M183" s="13">
        <f t="shared" si="20"/>
        <v>943</v>
      </c>
      <c r="N183" s="15"/>
    </row>
    <row r="184" spans="1:16" s="5" customFormat="1" ht="12">
      <c r="A184" s="40" t="s">
        <v>146</v>
      </c>
      <c r="B184" s="40" t="s">
        <v>1794</v>
      </c>
      <c r="C184" s="97">
        <v>365</v>
      </c>
      <c r="D184" s="97">
        <v>353</v>
      </c>
      <c r="E184" s="97">
        <v>268</v>
      </c>
      <c r="F184" s="97">
        <v>70</v>
      </c>
      <c r="G184" s="97">
        <v>359</v>
      </c>
      <c r="H184" s="97">
        <v>159</v>
      </c>
      <c r="I184" s="98"/>
      <c r="J184" s="10">
        <f t="shared" si="18"/>
        <v>2.19</v>
      </c>
      <c r="K184" s="11">
        <v>6</v>
      </c>
      <c r="L184" s="12">
        <f t="shared" si="19"/>
        <v>0.36499999999999999</v>
      </c>
      <c r="M184" s="13">
        <f t="shared" si="20"/>
        <v>365</v>
      </c>
      <c r="N184" s="15"/>
    </row>
    <row r="185" spans="1:16" s="5" customFormat="1" ht="12">
      <c r="A185" s="40" t="s">
        <v>146</v>
      </c>
      <c r="B185" s="40" t="s">
        <v>1904</v>
      </c>
      <c r="C185" s="97">
        <v>2333</v>
      </c>
      <c r="D185" s="97">
        <v>2285</v>
      </c>
      <c r="E185" s="97">
        <v>1934</v>
      </c>
      <c r="F185" s="97">
        <v>610</v>
      </c>
      <c r="G185" s="97">
        <v>2302</v>
      </c>
      <c r="H185" s="97">
        <v>1366</v>
      </c>
      <c r="I185" s="98"/>
      <c r="J185" s="10">
        <f t="shared" si="18"/>
        <v>13.998000000000001</v>
      </c>
      <c r="K185" s="11">
        <v>6</v>
      </c>
      <c r="L185" s="12">
        <f t="shared" si="19"/>
        <v>2.3330000000000002</v>
      </c>
      <c r="M185" s="13">
        <f t="shared" si="20"/>
        <v>2333</v>
      </c>
      <c r="N185" s="15"/>
    </row>
    <row r="186" spans="1:16" s="5" customFormat="1" ht="12">
      <c r="A186" s="40" t="s">
        <v>165</v>
      </c>
      <c r="B186" s="40" t="s">
        <v>214</v>
      </c>
      <c r="C186" s="97">
        <v>353</v>
      </c>
      <c r="D186" s="97">
        <v>336</v>
      </c>
      <c r="E186" s="97">
        <v>276</v>
      </c>
      <c r="F186" s="97">
        <v>76</v>
      </c>
      <c r="G186" s="97">
        <v>346</v>
      </c>
      <c r="H186" s="97">
        <v>161</v>
      </c>
      <c r="I186" s="98"/>
      <c r="J186" s="10">
        <f t="shared" si="18"/>
        <v>2.1179999999999999</v>
      </c>
      <c r="K186" s="11">
        <v>6</v>
      </c>
      <c r="L186" s="12">
        <f t="shared" si="19"/>
        <v>0.35299999999999998</v>
      </c>
      <c r="M186" s="13">
        <f t="shared" si="20"/>
        <v>353</v>
      </c>
      <c r="N186" s="15"/>
    </row>
    <row r="187" spans="1:16" s="5" customFormat="1" ht="12">
      <c r="A187" s="40" t="s">
        <v>165</v>
      </c>
      <c r="B187" s="40" t="s">
        <v>217</v>
      </c>
      <c r="C187" s="97">
        <v>711</v>
      </c>
      <c r="D187" s="97">
        <v>701</v>
      </c>
      <c r="E187" s="97">
        <v>569</v>
      </c>
      <c r="F187" s="97">
        <v>172</v>
      </c>
      <c r="G187" s="97">
        <v>697</v>
      </c>
      <c r="H187" s="97">
        <v>380</v>
      </c>
      <c r="I187" s="98"/>
      <c r="J187" s="10">
        <f t="shared" si="18"/>
        <v>4.266</v>
      </c>
      <c r="K187" s="11">
        <v>6</v>
      </c>
      <c r="L187" s="12">
        <f t="shared" si="19"/>
        <v>0.71099999999999997</v>
      </c>
      <c r="M187" s="13">
        <f t="shared" si="20"/>
        <v>711</v>
      </c>
      <c r="N187" s="15"/>
    </row>
    <row r="188" spans="1:16" s="5" customFormat="1" ht="12">
      <c r="A188" s="40" t="s">
        <v>165</v>
      </c>
      <c r="B188" s="40" t="s">
        <v>321</v>
      </c>
      <c r="C188" s="97">
        <v>408</v>
      </c>
      <c r="D188" s="97">
        <v>399</v>
      </c>
      <c r="E188" s="97">
        <v>297</v>
      </c>
      <c r="F188" s="97">
        <v>94</v>
      </c>
      <c r="G188" s="97">
        <v>389</v>
      </c>
      <c r="H188" s="97">
        <v>198</v>
      </c>
      <c r="I188" s="98"/>
      <c r="J188" s="10">
        <f t="shared" si="18"/>
        <v>2.448</v>
      </c>
      <c r="K188" s="11">
        <v>6</v>
      </c>
      <c r="L188" s="12">
        <f t="shared" si="19"/>
        <v>0.40799999999999997</v>
      </c>
      <c r="M188" s="13">
        <f t="shared" si="20"/>
        <v>408</v>
      </c>
      <c r="N188" s="15"/>
    </row>
    <row r="189" spans="1:16" s="5" customFormat="1" ht="12">
      <c r="A189" s="40" t="s">
        <v>165</v>
      </c>
      <c r="B189" s="40" t="s">
        <v>322</v>
      </c>
      <c r="C189" s="97">
        <v>341</v>
      </c>
      <c r="D189" s="97">
        <v>326</v>
      </c>
      <c r="E189" s="97">
        <v>237</v>
      </c>
      <c r="F189" s="97">
        <v>65</v>
      </c>
      <c r="G189" s="97">
        <v>327</v>
      </c>
      <c r="H189" s="97">
        <v>142</v>
      </c>
      <c r="I189" s="98"/>
      <c r="J189" s="10">
        <f t="shared" si="18"/>
        <v>2.0460000000000003</v>
      </c>
      <c r="K189" s="11">
        <v>6</v>
      </c>
      <c r="L189" s="12">
        <f t="shared" si="19"/>
        <v>0.34100000000000003</v>
      </c>
      <c r="M189" s="13">
        <f t="shared" si="20"/>
        <v>341</v>
      </c>
      <c r="N189" s="15"/>
    </row>
    <row r="190" spans="1:16" s="5" customFormat="1" ht="12">
      <c r="A190" s="40" t="s">
        <v>165</v>
      </c>
      <c r="B190" s="40" t="s">
        <v>525</v>
      </c>
      <c r="C190" s="97">
        <v>716</v>
      </c>
      <c r="D190" s="97">
        <v>705</v>
      </c>
      <c r="E190" s="97">
        <v>544</v>
      </c>
      <c r="F190" s="97">
        <v>162</v>
      </c>
      <c r="G190" s="97">
        <v>688</v>
      </c>
      <c r="H190" s="97">
        <v>364</v>
      </c>
      <c r="I190" s="98"/>
      <c r="J190" s="10">
        <f t="shared" si="18"/>
        <v>4.2959999999999994</v>
      </c>
      <c r="K190" s="11">
        <v>6</v>
      </c>
      <c r="L190" s="12">
        <f t="shared" si="19"/>
        <v>0.71599999999999997</v>
      </c>
      <c r="M190" s="13">
        <f t="shared" si="20"/>
        <v>716</v>
      </c>
      <c r="N190" s="15"/>
    </row>
    <row r="191" spans="1:16" s="5" customFormat="1" ht="12">
      <c r="A191" s="40" t="s">
        <v>165</v>
      </c>
      <c r="B191" s="40" t="s">
        <v>634</v>
      </c>
      <c r="C191" s="97">
        <v>717</v>
      </c>
      <c r="D191" s="97">
        <v>705</v>
      </c>
      <c r="E191" s="97">
        <v>531</v>
      </c>
      <c r="F191" s="97">
        <v>155</v>
      </c>
      <c r="G191" s="97">
        <v>684</v>
      </c>
      <c r="H191" s="97">
        <v>358</v>
      </c>
      <c r="I191" s="98"/>
      <c r="J191" s="10">
        <f t="shared" si="18"/>
        <v>4.3019999999999996</v>
      </c>
      <c r="K191" s="11">
        <v>6</v>
      </c>
      <c r="L191" s="12">
        <f t="shared" si="19"/>
        <v>0.71699999999999997</v>
      </c>
      <c r="M191" s="13">
        <f t="shared" si="20"/>
        <v>717</v>
      </c>
      <c r="N191" s="15"/>
    </row>
    <row r="192" spans="1:16" s="5" customFormat="1" ht="12">
      <c r="A192" s="40" t="s">
        <v>165</v>
      </c>
      <c r="B192" s="40" t="s">
        <v>821</v>
      </c>
      <c r="C192" s="97">
        <v>904</v>
      </c>
      <c r="D192" s="97">
        <v>880</v>
      </c>
      <c r="E192" s="97">
        <v>706</v>
      </c>
      <c r="F192" s="97">
        <v>229</v>
      </c>
      <c r="G192" s="97">
        <v>881</v>
      </c>
      <c r="H192" s="97">
        <v>489</v>
      </c>
      <c r="I192" s="98"/>
      <c r="J192" s="10">
        <f t="shared" si="18"/>
        <v>5.4240000000000004</v>
      </c>
      <c r="K192" s="11">
        <v>6</v>
      </c>
      <c r="L192" s="12">
        <f t="shared" si="19"/>
        <v>0.90400000000000003</v>
      </c>
      <c r="M192" s="13">
        <f t="shared" si="20"/>
        <v>904</v>
      </c>
      <c r="N192" s="15"/>
    </row>
    <row r="193" spans="1:16" s="5" customFormat="1" ht="12">
      <c r="A193" s="40" t="s">
        <v>165</v>
      </c>
      <c r="B193" s="40" t="s">
        <v>1040</v>
      </c>
      <c r="C193" s="97">
        <v>491</v>
      </c>
      <c r="D193" s="97">
        <v>481</v>
      </c>
      <c r="E193" s="97">
        <v>374</v>
      </c>
      <c r="F193" s="97">
        <v>117</v>
      </c>
      <c r="G193" s="97">
        <v>468</v>
      </c>
      <c r="H193" s="97">
        <v>246</v>
      </c>
      <c r="I193" s="98"/>
      <c r="J193" s="10">
        <f t="shared" si="18"/>
        <v>2.9459999999999997</v>
      </c>
      <c r="K193" s="11">
        <v>6</v>
      </c>
      <c r="L193" s="12">
        <f t="shared" si="19"/>
        <v>0.49099999999999999</v>
      </c>
      <c r="M193" s="13">
        <f t="shared" si="20"/>
        <v>491</v>
      </c>
      <c r="N193" s="15"/>
    </row>
    <row r="194" spans="1:16" s="5" customFormat="1" ht="12">
      <c r="A194" s="40" t="s">
        <v>165</v>
      </c>
      <c r="B194" s="40" t="s">
        <v>1043</v>
      </c>
      <c r="C194" s="97">
        <v>1284</v>
      </c>
      <c r="D194" s="97">
        <v>1269</v>
      </c>
      <c r="E194" s="97">
        <v>1018</v>
      </c>
      <c r="F194" s="97">
        <v>349</v>
      </c>
      <c r="G194" s="97">
        <v>1258</v>
      </c>
      <c r="H194" s="97">
        <v>955</v>
      </c>
      <c r="I194" s="98"/>
      <c r="J194" s="10">
        <f t="shared" si="18"/>
        <v>7.7040000000000006</v>
      </c>
      <c r="K194" s="11">
        <v>6</v>
      </c>
      <c r="L194" s="12">
        <f t="shared" si="19"/>
        <v>1.284</v>
      </c>
      <c r="M194" s="13">
        <f t="shared" si="20"/>
        <v>1284</v>
      </c>
      <c r="N194" s="15"/>
    </row>
    <row r="195" spans="1:16" s="5" customFormat="1" ht="12">
      <c r="A195" s="40" t="s">
        <v>165</v>
      </c>
      <c r="B195" s="40" t="s">
        <v>1171</v>
      </c>
      <c r="C195" s="97">
        <v>601</v>
      </c>
      <c r="D195" s="97">
        <v>588</v>
      </c>
      <c r="E195" s="97">
        <v>490</v>
      </c>
      <c r="F195" s="97">
        <v>122</v>
      </c>
      <c r="G195" s="97">
        <v>588</v>
      </c>
      <c r="H195" s="97">
        <v>288</v>
      </c>
      <c r="I195" s="98"/>
      <c r="J195" s="10">
        <f t="shared" si="18"/>
        <v>3.6059999999999999</v>
      </c>
      <c r="K195" s="11">
        <v>6</v>
      </c>
      <c r="L195" s="12">
        <f t="shared" si="19"/>
        <v>0.60099999999999998</v>
      </c>
      <c r="M195" s="13">
        <f t="shared" si="20"/>
        <v>601</v>
      </c>
      <c r="N195" s="15"/>
    </row>
    <row r="196" spans="1:16" s="5" customFormat="1" ht="12">
      <c r="A196" s="40" t="s">
        <v>165</v>
      </c>
      <c r="B196" s="40" t="s">
        <v>1282</v>
      </c>
      <c r="C196" s="97">
        <v>447</v>
      </c>
      <c r="D196" s="97">
        <v>436</v>
      </c>
      <c r="E196" s="97">
        <v>340</v>
      </c>
      <c r="F196" s="97">
        <v>78</v>
      </c>
      <c r="G196" s="97">
        <v>436</v>
      </c>
      <c r="H196" s="97">
        <v>207</v>
      </c>
      <c r="I196" s="98"/>
      <c r="J196" s="10">
        <f t="shared" si="18"/>
        <v>2.6819999999999999</v>
      </c>
      <c r="K196" s="11">
        <v>6</v>
      </c>
      <c r="L196" s="12">
        <f t="shared" si="19"/>
        <v>0.44700000000000001</v>
      </c>
      <c r="M196" s="13">
        <f t="shared" si="20"/>
        <v>447</v>
      </c>
      <c r="N196" s="15"/>
    </row>
    <row r="197" spans="1:16" s="5" customFormat="1" ht="12">
      <c r="A197" s="40" t="s">
        <v>165</v>
      </c>
      <c r="B197" s="40" t="s">
        <v>1326</v>
      </c>
      <c r="C197" s="97">
        <v>315</v>
      </c>
      <c r="D197" s="97">
        <v>309</v>
      </c>
      <c r="E197" s="97">
        <v>219</v>
      </c>
      <c r="F197" s="97">
        <v>51</v>
      </c>
      <c r="G197" s="97">
        <v>302</v>
      </c>
      <c r="H197" s="97">
        <v>146</v>
      </c>
      <c r="I197" s="98"/>
      <c r="J197" s="10">
        <f t="shared" si="18"/>
        <v>1.8900000000000001</v>
      </c>
      <c r="K197" s="11">
        <v>6</v>
      </c>
      <c r="L197" s="12">
        <f t="shared" si="19"/>
        <v>0.315</v>
      </c>
      <c r="M197" s="13">
        <f t="shared" si="20"/>
        <v>315</v>
      </c>
      <c r="N197" s="15"/>
    </row>
    <row r="198" spans="1:16" s="5" customFormat="1" ht="12">
      <c r="A198" s="40" t="s">
        <v>165</v>
      </c>
      <c r="B198" s="40" t="s">
        <v>1332</v>
      </c>
      <c r="C198" s="97">
        <v>641</v>
      </c>
      <c r="D198" s="97">
        <v>626</v>
      </c>
      <c r="E198" s="97">
        <v>529</v>
      </c>
      <c r="F198" s="97">
        <v>178</v>
      </c>
      <c r="G198" s="97">
        <v>620</v>
      </c>
      <c r="H198" s="97">
        <v>369</v>
      </c>
      <c r="I198" s="98"/>
      <c r="J198" s="10">
        <f t="shared" si="18"/>
        <v>3.8460000000000001</v>
      </c>
      <c r="K198" s="11">
        <v>6</v>
      </c>
      <c r="L198" s="12">
        <f t="shared" si="19"/>
        <v>0.64100000000000001</v>
      </c>
      <c r="M198" s="13">
        <f t="shared" si="20"/>
        <v>641</v>
      </c>
      <c r="N198" s="15"/>
    </row>
    <row r="199" spans="1:16" s="5" customFormat="1" ht="12">
      <c r="A199" s="40" t="s">
        <v>165</v>
      </c>
      <c r="B199" s="40" t="s">
        <v>1496</v>
      </c>
      <c r="C199" s="97">
        <v>498</v>
      </c>
      <c r="D199" s="97">
        <v>489</v>
      </c>
      <c r="E199" s="97">
        <v>396</v>
      </c>
      <c r="F199" s="97">
        <v>107</v>
      </c>
      <c r="G199" s="97">
        <v>484</v>
      </c>
      <c r="H199" s="97">
        <v>238</v>
      </c>
      <c r="I199" s="98"/>
      <c r="J199" s="10">
        <f t="shared" si="18"/>
        <v>2.988</v>
      </c>
      <c r="K199" s="11">
        <v>6</v>
      </c>
      <c r="L199" s="12">
        <f t="shared" si="19"/>
        <v>0.498</v>
      </c>
      <c r="M199" s="13">
        <f t="shared" si="20"/>
        <v>498</v>
      </c>
      <c r="N199" s="15"/>
    </row>
    <row r="200" spans="1:16" s="5" customFormat="1" ht="12">
      <c r="A200" s="40" t="s">
        <v>165</v>
      </c>
      <c r="B200" s="40" t="s">
        <v>1747</v>
      </c>
      <c r="C200" s="97">
        <v>661</v>
      </c>
      <c r="D200" s="97">
        <v>651</v>
      </c>
      <c r="E200" s="97">
        <v>511</v>
      </c>
      <c r="F200" s="97">
        <v>134</v>
      </c>
      <c r="G200" s="97">
        <v>642</v>
      </c>
      <c r="H200" s="97">
        <v>334</v>
      </c>
      <c r="I200" s="98"/>
      <c r="J200" s="10">
        <f t="shared" si="18"/>
        <v>3.9660000000000002</v>
      </c>
      <c r="K200" s="11">
        <v>6</v>
      </c>
      <c r="L200" s="12">
        <f t="shared" si="19"/>
        <v>0.66100000000000003</v>
      </c>
      <c r="M200" s="13">
        <f t="shared" si="20"/>
        <v>661</v>
      </c>
      <c r="N200" s="15"/>
    </row>
    <row r="201" spans="1:16" s="2" customFormat="1" ht="12">
      <c r="A201" s="40" t="s">
        <v>165</v>
      </c>
      <c r="B201" s="40" t="s">
        <v>1891</v>
      </c>
      <c r="C201" s="97">
        <v>351</v>
      </c>
      <c r="D201" s="97">
        <v>337</v>
      </c>
      <c r="E201" s="97">
        <v>294</v>
      </c>
      <c r="F201" s="97">
        <v>97</v>
      </c>
      <c r="G201" s="97">
        <v>347</v>
      </c>
      <c r="H201" s="97">
        <v>193</v>
      </c>
      <c r="I201" s="98"/>
      <c r="J201" s="10">
        <f t="shared" si="18"/>
        <v>2.1059999999999999</v>
      </c>
      <c r="K201" s="11">
        <v>6</v>
      </c>
      <c r="L201" s="12">
        <f t="shared" si="19"/>
        <v>0.35099999999999998</v>
      </c>
      <c r="M201" s="13">
        <f t="shared" si="20"/>
        <v>351</v>
      </c>
      <c r="N201" s="15"/>
      <c r="O201" s="5"/>
      <c r="P201" s="5"/>
    </row>
    <row r="202" spans="1:16" s="2" customFormat="1" ht="12">
      <c r="A202" s="40" t="s">
        <v>165</v>
      </c>
      <c r="B202" s="40" t="s">
        <v>1901</v>
      </c>
      <c r="C202" s="97">
        <v>511</v>
      </c>
      <c r="D202" s="97">
        <v>489</v>
      </c>
      <c r="E202" s="97">
        <v>381</v>
      </c>
      <c r="F202" s="97">
        <v>100</v>
      </c>
      <c r="G202" s="97">
        <v>493</v>
      </c>
      <c r="H202" s="97">
        <v>237</v>
      </c>
      <c r="I202" s="98"/>
      <c r="J202" s="10">
        <f t="shared" si="18"/>
        <v>3.0659999999999998</v>
      </c>
      <c r="K202" s="11">
        <v>6</v>
      </c>
      <c r="L202" s="12">
        <f t="shared" si="19"/>
        <v>0.51100000000000001</v>
      </c>
      <c r="M202" s="13">
        <f t="shared" si="20"/>
        <v>511</v>
      </c>
      <c r="N202" s="15"/>
      <c r="O202" s="5"/>
      <c r="P20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hechos</vt:lpstr>
      <vt:lpstr>revisado</vt:lpstr>
      <vt:lpstr>lucia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Jonathan JD</cp:lastModifiedBy>
  <dcterms:created xsi:type="dcterms:W3CDTF">2025-07-06T17:00:00Z</dcterms:created>
  <dcterms:modified xsi:type="dcterms:W3CDTF">2025-10-31T08:25:17Z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7A63682723504A239C874068284E1F0E_12</vt:lpwstr>
  </property>
  <property fmtid="{D5CDD505-2E9C-101B-9397-08002B2CF9AE}" pid="3" name="KSOProductBuildVer">
    <vt:lpwstr>3082-12.2.0.23131</vt:lpwstr>
  </property>
</Properties>
</file>