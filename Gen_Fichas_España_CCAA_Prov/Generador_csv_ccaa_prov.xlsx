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420" windowHeight="11760"/>
  </bookViews>
  <sheets>
    <sheet name="Input" sheetId="5" r:id="rId1"/>
    <sheet name="Comunidades_csv_copiar" sheetId="1" r:id="rId2"/>
    <sheet name="Provincias_csv_copiar" sheetId="2" r:id="rId3"/>
  </sheets>
  <calcPr calcId="145621"/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C3" i="1"/>
  <c r="D3" i="1"/>
  <c r="E3" i="1"/>
  <c r="F3" i="1"/>
  <c r="G3" i="1"/>
  <c r="H3" i="1"/>
  <c r="I3" i="1"/>
  <c r="C4" i="1"/>
  <c r="D4" i="1"/>
  <c r="E4" i="1"/>
  <c r="F4" i="1"/>
  <c r="G4" i="1"/>
  <c r="H4" i="1"/>
  <c r="I4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" i="2"/>
  <c r="D2" i="2"/>
  <c r="E2" i="2"/>
  <c r="F2" i="2"/>
  <c r="G2" i="2"/>
  <c r="H2" i="2"/>
  <c r="I2" i="2"/>
  <c r="C3" i="2"/>
  <c r="D3" i="2"/>
  <c r="E3" i="2"/>
  <c r="F3" i="2"/>
  <c r="G3" i="2"/>
  <c r="H3" i="2"/>
  <c r="I3" i="2"/>
  <c r="C4" i="2"/>
  <c r="D4" i="2"/>
  <c r="E4" i="2"/>
  <c r="F4" i="2"/>
  <c r="G4" i="2"/>
  <c r="H4" i="2"/>
  <c r="I4" i="2"/>
  <c r="C5" i="2"/>
  <c r="D5" i="2"/>
  <c r="E5" i="2"/>
  <c r="F5" i="2"/>
  <c r="G5" i="2"/>
  <c r="H5" i="2"/>
  <c r="I5" i="2"/>
  <c r="C6" i="2"/>
  <c r="D6" i="2"/>
  <c r="E6" i="2"/>
  <c r="F6" i="2"/>
  <c r="G6" i="2"/>
  <c r="H6" i="2"/>
  <c r="I6" i="2"/>
  <c r="C7" i="2"/>
  <c r="D7" i="2"/>
  <c r="E7" i="2"/>
  <c r="F7" i="2"/>
  <c r="G7" i="2"/>
  <c r="H7" i="2"/>
  <c r="I7" i="2"/>
  <c r="C8" i="2"/>
  <c r="D8" i="2"/>
  <c r="E8" i="2"/>
  <c r="F8" i="2"/>
  <c r="G8" i="2"/>
  <c r="H8" i="2"/>
  <c r="I8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C13" i="2"/>
  <c r="D13" i="2"/>
  <c r="E13" i="2"/>
  <c r="F13" i="2"/>
  <c r="G13" i="2"/>
  <c r="H13" i="2"/>
  <c r="I13" i="2"/>
  <c r="C14" i="2"/>
  <c r="D14" i="2"/>
  <c r="E14" i="2"/>
  <c r="F14" i="2"/>
  <c r="G14" i="2"/>
  <c r="H14" i="2"/>
  <c r="I14" i="2"/>
  <c r="C15" i="2"/>
  <c r="D15" i="2"/>
  <c r="E15" i="2"/>
  <c r="F15" i="2"/>
  <c r="G15" i="2"/>
  <c r="H15" i="2"/>
  <c r="I15" i="2"/>
  <c r="C16" i="2"/>
  <c r="D16" i="2"/>
  <c r="E16" i="2"/>
  <c r="F16" i="2"/>
  <c r="G16" i="2"/>
  <c r="H16" i="2"/>
  <c r="I16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C28" i="2"/>
  <c r="D28" i="2"/>
  <c r="E28" i="2"/>
  <c r="F28" i="2"/>
  <c r="G28" i="2"/>
  <c r="H28" i="2"/>
  <c r="I28" i="2"/>
  <c r="C29" i="2"/>
  <c r="D29" i="2"/>
  <c r="E29" i="2"/>
  <c r="F29" i="2"/>
  <c r="G29" i="2"/>
  <c r="H29" i="2"/>
  <c r="I29" i="2"/>
  <c r="C30" i="2"/>
  <c r="D30" i="2"/>
  <c r="E30" i="2"/>
  <c r="F30" i="2"/>
  <c r="G30" i="2"/>
  <c r="H30" i="2"/>
  <c r="I30" i="2"/>
  <c r="C31" i="2"/>
  <c r="D31" i="2"/>
  <c r="E31" i="2"/>
  <c r="F31" i="2"/>
  <c r="G31" i="2"/>
  <c r="H31" i="2"/>
  <c r="I31" i="2"/>
  <c r="C32" i="2"/>
  <c r="D32" i="2"/>
  <c r="E32" i="2"/>
  <c r="F32" i="2"/>
  <c r="G32" i="2"/>
  <c r="H32" i="2"/>
  <c r="I32" i="2"/>
  <c r="C33" i="2"/>
  <c r="D33" i="2"/>
  <c r="E33" i="2"/>
  <c r="F33" i="2"/>
  <c r="G33" i="2"/>
  <c r="H33" i="2"/>
  <c r="I33" i="2"/>
  <c r="C34" i="2"/>
  <c r="D34" i="2"/>
  <c r="E34" i="2"/>
  <c r="F34" i="2"/>
  <c r="G34" i="2"/>
  <c r="H34" i="2"/>
  <c r="I34" i="2"/>
  <c r="C35" i="2"/>
  <c r="D35" i="2"/>
  <c r="E35" i="2"/>
  <c r="F35" i="2"/>
  <c r="G35" i="2"/>
  <c r="H35" i="2"/>
  <c r="I35" i="2"/>
  <c r="C36" i="2"/>
  <c r="D36" i="2"/>
  <c r="E36" i="2"/>
  <c r="F36" i="2"/>
  <c r="G36" i="2"/>
  <c r="H36" i="2"/>
  <c r="I36" i="2"/>
  <c r="C37" i="2"/>
  <c r="D37" i="2"/>
  <c r="E37" i="2"/>
  <c r="F37" i="2"/>
  <c r="G37" i="2"/>
  <c r="H37" i="2"/>
  <c r="I37" i="2"/>
  <c r="C38" i="2"/>
  <c r="D38" i="2"/>
  <c r="E38" i="2"/>
  <c r="F38" i="2"/>
  <c r="G38" i="2"/>
  <c r="H38" i="2"/>
  <c r="I38" i="2"/>
  <c r="C39" i="2"/>
  <c r="D39" i="2"/>
  <c r="E39" i="2"/>
  <c r="F39" i="2"/>
  <c r="G39" i="2"/>
  <c r="H39" i="2"/>
  <c r="I39" i="2"/>
  <c r="C40" i="2"/>
  <c r="D40" i="2"/>
  <c r="E40" i="2"/>
  <c r="F40" i="2"/>
  <c r="G40" i="2"/>
  <c r="H40" i="2"/>
  <c r="I40" i="2"/>
  <c r="C41" i="2"/>
  <c r="D41" i="2"/>
  <c r="E41" i="2"/>
  <c r="F41" i="2"/>
  <c r="G41" i="2"/>
  <c r="H41" i="2"/>
  <c r="I41" i="2"/>
  <c r="C42" i="2"/>
  <c r="D42" i="2"/>
  <c r="E42" i="2"/>
  <c r="F42" i="2"/>
  <c r="G42" i="2"/>
  <c r="H42" i="2"/>
  <c r="I42" i="2"/>
  <c r="C43" i="2"/>
  <c r="D43" i="2"/>
  <c r="E43" i="2"/>
  <c r="F43" i="2"/>
  <c r="G43" i="2"/>
  <c r="H43" i="2"/>
  <c r="I43" i="2"/>
  <c r="C44" i="2"/>
  <c r="D44" i="2"/>
  <c r="E44" i="2"/>
  <c r="F44" i="2"/>
  <c r="G44" i="2"/>
  <c r="H44" i="2"/>
  <c r="I44" i="2"/>
  <c r="C45" i="2"/>
  <c r="D45" i="2"/>
  <c r="E45" i="2"/>
  <c r="F45" i="2"/>
  <c r="G45" i="2"/>
  <c r="H45" i="2"/>
  <c r="I45" i="2"/>
  <c r="C46" i="2"/>
  <c r="D46" i="2"/>
  <c r="E46" i="2"/>
  <c r="F46" i="2"/>
  <c r="G46" i="2"/>
  <c r="H46" i="2"/>
  <c r="I46" i="2"/>
  <c r="C47" i="2"/>
  <c r="D47" i="2"/>
  <c r="E47" i="2"/>
  <c r="F47" i="2"/>
  <c r="G47" i="2"/>
  <c r="H47" i="2"/>
  <c r="I47" i="2"/>
  <c r="C48" i="2"/>
  <c r="D48" i="2"/>
  <c r="E48" i="2"/>
  <c r="F48" i="2"/>
  <c r="G48" i="2"/>
  <c r="H48" i="2"/>
  <c r="I48" i="2"/>
  <c r="C49" i="2"/>
  <c r="D49" i="2"/>
  <c r="E49" i="2"/>
  <c r="F49" i="2"/>
  <c r="G49" i="2"/>
  <c r="H49" i="2"/>
  <c r="I49" i="2"/>
  <c r="C50" i="2"/>
  <c r="D50" i="2"/>
  <c r="E50" i="2"/>
  <c r="F50" i="2"/>
  <c r="G50" i="2"/>
  <c r="H50" i="2"/>
  <c r="I50" i="2"/>
  <c r="C51" i="2"/>
  <c r="D51" i="2"/>
  <c r="E51" i="2"/>
  <c r="F51" i="2"/>
  <c r="G51" i="2"/>
  <c r="H51" i="2"/>
  <c r="I51" i="2"/>
</calcChain>
</file>

<file path=xl/sharedStrings.xml><?xml version="1.0" encoding="utf-8"?>
<sst xmlns="http://schemas.openxmlformats.org/spreadsheetml/2006/main" count="256" uniqueCount="100">
  <si>
    <t>españa</t>
  </si>
  <si>
    <t>Andalucia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</si>
  <si>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</si>
  <si>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</si>
  <si>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</si>
  <si>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</si>
  <si>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</si>
  <si>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</si>
  <si>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</si>
  <si>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</si>
  <si>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Aragon</t>
  </si>
  <si>
    <t>Huesca</t>
  </si>
  <si>
    <t>Teruel</t>
  </si>
  <si>
    <t>Zaragoza</t>
  </si>
  <si>
    <t>Asturias</t>
  </si>
  <si>
    <t>Canarias</t>
  </si>
  <si>
    <t>Las Palmas</t>
  </si>
  <si>
    <t>Tenerife</t>
  </si>
  <si>
    <t>Cantabria</t>
  </si>
  <si>
    <t>Castilla y La Mancha</t>
  </si>
  <si>
    <t>Albacete</t>
  </si>
  <si>
    <t>Ciudad Real</t>
  </si>
  <si>
    <t>Cuenca</t>
  </si>
  <si>
    <t>Guadalajara</t>
  </si>
  <si>
    <t>Toledo</t>
  </si>
  <si>
    <t>Castilla y Leon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</si>
  <si>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</si>
  <si>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</si>
  <si>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</si>
  <si>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</si>
  <si>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</si>
  <si>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</si>
  <si>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</si>
  <si>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</si>
  <si>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</si>
  <si>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</si>
  <si>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</si>
  <si>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Tarragona</t>
  </si>
  <si>
    <t>Ceuta</t>
  </si>
  <si>
    <t>Com. Valenciana</t>
  </si>
  <si>
    <t>Castellon</t>
  </si>
  <si>
    <t>Valencia</t>
  </si>
  <si>
    <t>Extremadura</t>
  </si>
  <si>
    <t>Badajoz</t>
  </si>
  <si>
    <t>Caceres</t>
  </si>
  <si>
    <t>Galicia</t>
  </si>
  <si>
    <t>Lugo</t>
  </si>
  <si>
    <t>Pontevedra</t>
  </si>
  <si>
    <t>Islas Baleares - Illes Balears</t>
  </si>
  <si>
    <t>La Rioja</t>
  </si>
  <si>
    <t>Madrid</t>
  </si>
  <si>
    <t>Melilla</t>
  </si>
  <si>
    <t>Murcia</t>
  </si>
  <si>
    <t>Navarra</t>
  </si>
  <si>
    <t>Pais Vasco</t>
  </si>
  <si>
    <t>Precio</t>
  </si>
  <si>
    <t>registros</t>
  </si>
  <si>
    <t>dir</t>
  </si>
  <si>
    <t>phone</t>
  </si>
  <si>
    <t>mail</t>
  </si>
  <si>
    <t>cat</t>
  </si>
  <si>
    <t>web</t>
  </si>
  <si>
    <t>Nombre</t>
  </si>
  <si>
    <t>Direccion</t>
  </si>
  <si>
    <t>Phone</t>
  </si>
  <si>
    <t>Mail</t>
  </si>
  <si>
    <t>Category</t>
  </si>
  <si>
    <t>Website</t>
  </si>
  <si>
    <t>Columna1</t>
  </si>
  <si>
    <t>ccaa</t>
  </si>
  <si>
    <t>Comunidad Valenciana</t>
  </si>
  <si>
    <t>Gerona - Girona</t>
  </si>
  <si>
    <t>Lerida - Lleida</t>
  </si>
  <si>
    <t>A Coruña - La Coruña</t>
  </si>
  <si>
    <t>Ourense - Orense</t>
  </si>
  <si>
    <t>Alava - Araba</t>
  </si>
  <si>
    <t>Guipuzcoa - Gipuzkoa</t>
  </si>
  <si>
    <t>Vizcaya - Bizkaia</t>
  </si>
  <si>
    <t>Alicante - Alacant</t>
  </si>
  <si>
    <t>X</t>
  </si>
  <si>
    <t>provincia1</t>
  </si>
  <si>
    <t>España</t>
  </si>
  <si>
    <t>nombre</t>
  </si>
  <si>
    <t>Andalucía</t>
  </si>
  <si>
    <t>Aragón</t>
  </si>
  <si>
    <t>Castilla y León</t>
  </si>
  <si>
    <t>País Vasco</t>
  </si>
  <si>
    <t>Almería</t>
  </si>
  <si>
    <t>Cádiz</t>
  </si>
  <si>
    <t>Córdoba</t>
  </si>
  <si>
    <t>Jaén</t>
  </si>
  <si>
    <t>Málaga</t>
  </si>
  <si>
    <t>Ávila</t>
  </si>
  <si>
    <t>León</t>
  </si>
  <si>
    <t>Castellón</t>
  </si>
  <si>
    <t>Cáceres</t>
  </si>
  <si>
    <t>Guipúzcoa - Gipuzkoa</t>
  </si>
  <si>
    <t>Álava - Araba</t>
  </si>
  <si>
    <t>Lérida - Lleida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</si>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</sst>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&quot;€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19" fillId="0" borderId="0"/>
    <xf numFmtId="0" fontId="20" fillId="0" borderId="0" applyNumberFormat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0" fontId="21" fillId="0" borderId="12" xfId="0" applyFont="1" applyBorder="1" applyAlignment="1">
      <alignment horizontal="left" indent="2"/>
    </xf>
    <xf numFmtId="3" fontId="21" fillId="0" borderId="12" xfId="0" applyNumberFormat="1" applyFont="1" applyBorder="1" applyAlignment="1">
      <alignment horizontal="center"/>
    </xf>
    <xf numFmtId="0" fontId="21" fillId="0" borderId="0" xfId="0" applyFont="1"/>
    <xf numFmtId="164" fontId="21" fillId="0" borderId="12" xfId="0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0" fontId="23" fillId="0" borderId="0" xfId="0" applyFont="1"/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left" indent="1"/>
    </xf>
    <xf numFmtId="0" fontId="22" fillId="33" borderId="11" xfId="0" applyFont="1" applyFill="1" applyBorder="1" applyAlignment="1">
      <alignment horizontal="left"/>
    </xf>
    <xf numFmtId="3" fontId="22" fillId="0" borderId="10" xfId="0" applyNumberFormat="1" applyFont="1" applyBorder="1"/>
    <xf numFmtId="3" fontId="23" fillId="0" borderId="0" xfId="0" applyNumberFormat="1" applyFont="1"/>
    <xf numFmtId="3" fontId="22" fillId="33" borderId="11" xfId="0" applyNumberFormat="1" applyFont="1" applyFill="1" applyBorder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3"/>
    <cellStyle name="Normal 5" xfId="44"/>
    <cellStyle name="Normal 8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\ &quot;€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I1048504" totalsRowShown="0" headerRowDxfId="10" dataDxfId="9">
  <autoFilter ref="A1:I1048504"/>
  <tableColumns count="9">
    <tableColumn id="1" name="X" dataDxfId="8"/>
    <tableColumn id="2" name="Nombre" dataDxfId="7"/>
    <tableColumn id="3" name="Direccion" dataDxfId="6"/>
    <tableColumn id="4" name="Phone" dataDxfId="5"/>
    <tableColumn id="5" name="Mail" dataDxfId="4"/>
    <tableColumn id="6" name="Category" dataDxfId="3"/>
    <tableColumn id="7" name="Website" dataDxfId="2"/>
    <tableColumn id="8" name="Columna1" dataDxfId="1"/>
    <tableColumn id="9" name="PRECI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topLeftCell="A48" zoomScale="115" zoomScaleNormal="115" workbookViewId="0">
      <selection activeCell="I71" sqref="I71"/>
    </sheetView>
  </sheetViews>
  <sheetFormatPr baseColWidth="10" defaultRowHeight="14.5" x14ac:dyDescent="0.35"/>
  <cols>
    <col min="1" max="1" width="31" style="6" customWidth="1"/>
    <col min="2" max="7" width="10.81640625" style="7"/>
    <col min="8" max="8" width="12" style="8" customWidth="1"/>
    <col min="9" max="9" width="10.81640625" style="9"/>
  </cols>
  <sheetData>
    <row r="1" spans="1:9" ht="12.5" customHeight="1" x14ac:dyDescent="0.35">
      <c r="A1" s="4" t="s">
        <v>79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5" t="s">
        <v>68</v>
      </c>
      <c r="I1" s="5" t="s">
        <v>99</v>
      </c>
    </row>
    <row r="2" spans="1:9" x14ac:dyDescent="0.35">
      <c r="A2" s="10" t="s">
        <v>1</v>
      </c>
      <c r="B2" s="15">
        <v>18961</v>
      </c>
      <c r="C2" s="15">
        <v>18657</v>
      </c>
      <c r="D2" s="15">
        <v>13688</v>
      </c>
      <c r="E2" s="15">
        <v>3598</v>
      </c>
      <c r="F2" s="15">
        <v>18968</v>
      </c>
      <c r="G2" s="15">
        <v>7267</v>
      </c>
      <c r="H2" s="11"/>
      <c r="I2" s="12">
        <v>56.882999999999996</v>
      </c>
    </row>
    <row r="3" spans="1:9" x14ac:dyDescent="0.35">
      <c r="A3" s="13" t="s">
        <v>2</v>
      </c>
      <c r="B3" s="16">
        <v>1984</v>
      </c>
      <c r="C3" s="16">
        <v>1929</v>
      </c>
      <c r="D3" s="16">
        <v>1262</v>
      </c>
      <c r="E3" s="16">
        <v>288</v>
      </c>
      <c r="F3" s="16">
        <v>1984</v>
      </c>
      <c r="G3" s="16">
        <v>636</v>
      </c>
      <c r="H3" s="11"/>
      <c r="I3" s="12">
        <v>5.952</v>
      </c>
    </row>
    <row r="4" spans="1:9" x14ac:dyDescent="0.35">
      <c r="A4" s="13" t="s">
        <v>3</v>
      </c>
      <c r="B4" s="16">
        <v>3341</v>
      </c>
      <c r="C4" s="16">
        <v>3283</v>
      </c>
      <c r="D4" s="16">
        <v>2360</v>
      </c>
      <c r="E4" s="16">
        <v>570</v>
      </c>
      <c r="F4" s="16">
        <v>3343</v>
      </c>
      <c r="G4" s="16">
        <v>1161</v>
      </c>
      <c r="H4" s="11"/>
      <c r="I4" s="12">
        <v>10.023</v>
      </c>
    </row>
    <row r="5" spans="1:9" x14ac:dyDescent="0.35">
      <c r="A5" s="13" t="s">
        <v>4</v>
      </c>
      <c r="B5" s="16">
        <v>2103</v>
      </c>
      <c r="C5" s="16">
        <v>2081</v>
      </c>
      <c r="D5" s="16">
        <v>1556</v>
      </c>
      <c r="E5" s="16">
        <v>390</v>
      </c>
      <c r="F5" s="16">
        <v>2104</v>
      </c>
      <c r="G5" s="16">
        <v>765</v>
      </c>
      <c r="H5" s="11"/>
      <c r="I5" s="12">
        <v>6.3090000000000011</v>
      </c>
    </row>
    <row r="6" spans="1:9" x14ac:dyDescent="0.35">
      <c r="A6" s="13" t="s">
        <v>5</v>
      </c>
      <c r="B6" s="16">
        <v>2668</v>
      </c>
      <c r="C6" s="16">
        <v>2625</v>
      </c>
      <c r="D6" s="16">
        <v>1936</v>
      </c>
      <c r="E6" s="16">
        <v>566</v>
      </c>
      <c r="F6" s="16">
        <v>2670</v>
      </c>
      <c r="G6" s="16">
        <v>1057</v>
      </c>
      <c r="H6" s="11"/>
      <c r="I6" s="12">
        <v>8.0040000000000013</v>
      </c>
    </row>
    <row r="7" spans="1:9" x14ac:dyDescent="0.35">
      <c r="A7" s="13" t="s">
        <v>6</v>
      </c>
      <c r="B7" s="16">
        <v>1767</v>
      </c>
      <c r="C7" s="16">
        <v>1731</v>
      </c>
      <c r="D7" s="16">
        <v>1242</v>
      </c>
      <c r="E7" s="16">
        <v>378</v>
      </c>
      <c r="F7" s="16">
        <v>1767</v>
      </c>
      <c r="G7" s="16">
        <v>702</v>
      </c>
      <c r="H7" s="11"/>
      <c r="I7" s="12">
        <v>5.3010000000000002</v>
      </c>
    </row>
    <row r="8" spans="1:9" x14ac:dyDescent="0.35">
      <c r="A8" s="13" t="s">
        <v>7</v>
      </c>
      <c r="B8" s="16">
        <v>1873</v>
      </c>
      <c r="C8" s="16">
        <v>1836</v>
      </c>
      <c r="D8" s="16">
        <v>1276</v>
      </c>
      <c r="E8" s="16">
        <v>309</v>
      </c>
      <c r="F8" s="16">
        <v>1874</v>
      </c>
      <c r="G8" s="16">
        <v>623</v>
      </c>
      <c r="H8" s="11"/>
      <c r="I8" s="12">
        <v>5.6189999999999998</v>
      </c>
    </row>
    <row r="9" spans="1:9" x14ac:dyDescent="0.35">
      <c r="A9" s="13" t="s">
        <v>8</v>
      </c>
      <c r="B9" s="16">
        <v>2446</v>
      </c>
      <c r="C9" s="16">
        <v>2426</v>
      </c>
      <c r="D9" s="16">
        <v>1975</v>
      </c>
      <c r="E9" s="16">
        <v>533</v>
      </c>
      <c r="F9" s="16">
        <v>2447</v>
      </c>
      <c r="G9" s="16">
        <v>1200</v>
      </c>
      <c r="H9" s="11"/>
      <c r="I9" s="12">
        <v>7.338000000000001</v>
      </c>
    </row>
    <row r="10" spans="1:9" x14ac:dyDescent="0.35">
      <c r="A10" s="13" t="s">
        <v>9</v>
      </c>
      <c r="B10" s="16">
        <v>2779</v>
      </c>
      <c r="C10" s="16">
        <v>2746</v>
      </c>
      <c r="D10" s="16">
        <v>2081</v>
      </c>
      <c r="E10" s="16">
        <v>564</v>
      </c>
      <c r="F10" s="16">
        <v>2779</v>
      </c>
      <c r="G10" s="16">
        <v>1123</v>
      </c>
      <c r="H10" s="11"/>
      <c r="I10" s="12">
        <v>8.3369999999999997</v>
      </c>
    </row>
    <row r="11" spans="1:9" x14ac:dyDescent="0.35">
      <c r="A11" s="10" t="s">
        <v>10</v>
      </c>
      <c r="B11" s="15">
        <v>3670</v>
      </c>
      <c r="C11" s="15">
        <v>3616</v>
      </c>
      <c r="D11" s="15">
        <v>2814</v>
      </c>
      <c r="E11" s="15">
        <v>783</v>
      </c>
      <c r="F11" s="15">
        <v>3672</v>
      </c>
      <c r="G11" s="15">
        <v>1521</v>
      </c>
      <c r="H11" s="11"/>
      <c r="I11" s="12">
        <v>11.01</v>
      </c>
    </row>
    <row r="12" spans="1:9" x14ac:dyDescent="0.35">
      <c r="A12" s="13" t="s">
        <v>11</v>
      </c>
      <c r="B12" s="16">
        <v>856</v>
      </c>
      <c r="C12" s="16">
        <v>836</v>
      </c>
      <c r="D12" s="16">
        <v>633</v>
      </c>
      <c r="E12" s="16">
        <v>189</v>
      </c>
      <c r="F12" s="16">
        <v>857</v>
      </c>
      <c r="G12" s="16">
        <v>351</v>
      </c>
      <c r="H12" s="11"/>
      <c r="I12" s="12">
        <v>2.5680000000000001</v>
      </c>
    </row>
    <row r="13" spans="1:9" x14ac:dyDescent="0.35">
      <c r="A13" s="13" t="s">
        <v>12</v>
      </c>
      <c r="B13" s="16">
        <v>694</v>
      </c>
      <c r="C13" s="16">
        <v>682</v>
      </c>
      <c r="D13" s="16">
        <v>521</v>
      </c>
      <c r="E13" s="16">
        <v>142</v>
      </c>
      <c r="F13" s="16">
        <v>694</v>
      </c>
      <c r="G13" s="16">
        <v>255</v>
      </c>
      <c r="H13" s="11"/>
      <c r="I13" s="12">
        <v>2.0819999999999999</v>
      </c>
    </row>
    <row r="14" spans="1:9" x14ac:dyDescent="0.35">
      <c r="A14" s="13" t="s">
        <v>13</v>
      </c>
      <c r="B14" s="16">
        <v>2120</v>
      </c>
      <c r="C14" s="16">
        <v>2098</v>
      </c>
      <c r="D14" s="16">
        <v>1660</v>
      </c>
      <c r="E14" s="16">
        <v>452</v>
      </c>
      <c r="F14" s="16">
        <v>2121</v>
      </c>
      <c r="G14" s="16">
        <v>915</v>
      </c>
      <c r="H14" s="11"/>
      <c r="I14" s="12">
        <v>6.36</v>
      </c>
    </row>
    <row r="15" spans="1:9" x14ac:dyDescent="0.35">
      <c r="A15" s="10" t="s">
        <v>14</v>
      </c>
      <c r="B15" s="15">
        <v>2591</v>
      </c>
      <c r="C15" s="15">
        <v>2551</v>
      </c>
      <c r="D15" s="15">
        <v>2059</v>
      </c>
      <c r="E15" s="15">
        <v>560</v>
      </c>
      <c r="F15" s="15">
        <v>2593</v>
      </c>
      <c r="G15" s="15">
        <v>1194</v>
      </c>
      <c r="H15" s="11"/>
      <c r="I15" s="12">
        <v>7.7730000000000006</v>
      </c>
    </row>
    <row r="16" spans="1:9" x14ac:dyDescent="0.35">
      <c r="A16" s="13" t="s">
        <v>14</v>
      </c>
      <c r="B16" s="16">
        <v>2591</v>
      </c>
      <c r="C16" s="16">
        <v>2551</v>
      </c>
      <c r="D16" s="16">
        <v>2059</v>
      </c>
      <c r="E16" s="16">
        <v>560</v>
      </c>
      <c r="F16" s="16">
        <v>2593</v>
      </c>
      <c r="G16" s="16">
        <v>1194</v>
      </c>
      <c r="H16" s="11"/>
      <c r="I16" s="12">
        <v>7.7730000000000006</v>
      </c>
    </row>
    <row r="17" spans="1:9" x14ac:dyDescent="0.35">
      <c r="A17" s="10" t="s">
        <v>15</v>
      </c>
      <c r="B17" s="15">
        <v>4215</v>
      </c>
      <c r="C17" s="15">
        <v>4135</v>
      </c>
      <c r="D17" s="15">
        <v>3260</v>
      </c>
      <c r="E17" s="15">
        <v>728</v>
      </c>
      <c r="F17" s="15">
        <v>4217</v>
      </c>
      <c r="G17" s="15">
        <v>1941</v>
      </c>
      <c r="H17" s="11"/>
      <c r="I17" s="12">
        <v>12.645</v>
      </c>
    </row>
    <row r="18" spans="1:9" x14ac:dyDescent="0.35">
      <c r="A18" s="13" t="s">
        <v>16</v>
      </c>
      <c r="B18" s="16">
        <v>2074</v>
      </c>
      <c r="C18" s="16">
        <v>2048</v>
      </c>
      <c r="D18" s="16">
        <v>1573</v>
      </c>
      <c r="E18" s="16">
        <v>311</v>
      </c>
      <c r="F18" s="16">
        <v>2075</v>
      </c>
      <c r="G18" s="16">
        <v>991</v>
      </c>
      <c r="H18" s="11"/>
      <c r="I18" s="12">
        <v>6.2219999999999995</v>
      </c>
    </row>
    <row r="19" spans="1:9" x14ac:dyDescent="0.35">
      <c r="A19" s="13" t="s">
        <v>17</v>
      </c>
      <c r="B19" s="16">
        <v>2141</v>
      </c>
      <c r="C19" s="16">
        <v>2087</v>
      </c>
      <c r="D19" s="16">
        <v>1687</v>
      </c>
      <c r="E19" s="16">
        <v>417</v>
      </c>
      <c r="F19" s="16">
        <v>2142</v>
      </c>
      <c r="G19" s="16">
        <v>950</v>
      </c>
      <c r="H19" s="11"/>
      <c r="I19" s="12">
        <v>6.423</v>
      </c>
    </row>
    <row r="20" spans="1:9" x14ac:dyDescent="0.35">
      <c r="A20" s="10" t="s">
        <v>18</v>
      </c>
      <c r="B20" s="15">
        <v>1758</v>
      </c>
      <c r="C20" s="15">
        <v>1724</v>
      </c>
      <c r="D20" s="15">
        <v>1330</v>
      </c>
      <c r="E20" s="15">
        <v>281</v>
      </c>
      <c r="F20" s="15">
        <v>1760</v>
      </c>
      <c r="G20" s="15">
        <v>672</v>
      </c>
      <c r="H20" s="11"/>
      <c r="I20" s="12">
        <v>5.274</v>
      </c>
    </row>
    <row r="21" spans="1:9" x14ac:dyDescent="0.35">
      <c r="A21" s="13" t="s">
        <v>18</v>
      </c>
      <c r="B21" s="16">
        <v>1758</v>
      </c>
      <c r="C21" s="16">
        <v>1724</v>
      </c>
      <c r="D21" s="16">
        <v>1330</v>
      </c>
      <c r="E21" s="16">
        <v>281</v>
      </c>
      <c r="F21" s="16">
        <v>1760</v>
      </c>
      <c r="G21" s="16">
        <v>672</v>
      </c>
      <c r="H21" s="11"/>
      <c r="I21" s="12">
        <v>5.274</v>
      </c>
    </row>
    <row r="22" spans="1:9" x14ac:dyDescent="0.35">
      <c r="A22" s="10" t="s">
        <v>19</v>
      </c>
      <c r="B22" s="15">
        <v>5308</v>
      </c>
      <c r="C22" s="15">
        <v>5174</v>
      </c>
      <c r="D22" s="15">
        <v>3592</v>
      </c>
      <c r="E22" s="15">
        <v>798</v>
      </c>
      <c r="F22" s="15">
        <v>5309</v>
      </c>
      <c r="G22" s="15">
        <v>1643</v>
      </c>
      <c r="H22" s="11"/>
      <c r="I22" s="12">
        <v>15.923999999999999</v>
      </c>
    </row>
    <row r="23" spans="1:9" x14ac:dyDescent="0.35">
      <c r="A23" s="13" t="s">
        <v>20</v>
      </c>
      <c r="B23" s="16">
        <v>1086</v>
      </c>
      <c r="C23" s="16">
        <v>1053</v>
      </c>
      <c r="D23" s="16">
        <v>745</v>
      </c>
      <c r="E23" s="16">
        <v>166</v>
      </c>
      <c r="F23" s="16">
        <v>1086</v>
      </c>
      <c r="G23" s="16">
        <v>345</v>
      </c>
      <c r="H23" s="11"/>
      <c r="I23" s="12">
        <v>3.258</v>
      </c>
    </row>
    <row r="24" spans="1:9" x14ac:dyDescent="0.35">
      <c r="A24" s="13" t="s">
        <v>21</v>
      </c>
      <c r="B24" s="16">
        <v>1377</v>
      </c>
      <c r="C24" s="16">
        <v>1348</v>
      </c>
      <c r="D24" s="16">
        <v>896</v>
      </c>
      <c r="E24" s="16">
        <v>195</v>
      </c>
      <c r="F24" s="16">
        <v>1377</v>
      </c>
      <c r="G24" s="16">
        <v>397</v>
      </c>
      <c r="H24" s="11"/>
      <c r="I24" s="12">
        <v>4.1310000000000002</v>
      </c>
    </row>
    <row r="25" spans="1:9" x14ac:dyDescent="0.35">
      <c r="A25" s="13" t="s">
        <v>22</v>
      </c>
      <c r="B25" s="16">
        <v>460</v>
      </c>
      <c r="C25" s="16">
        <v>443</v>
      </c>
      <c r="D25" s="16">
        <v>330</v>
      </c>
      <c r="E25" s="16">
        <v>71</v>
      </c>
      <c r="F25" s="16">
        <v>460</v>
      </c>
      <c r="G25" s="16">
        <v>166</v>
      </c>
      <c r="H25" s="11"/>
      <c r="I25" s="12">
        <v>1.5</v>
      </c>
    </row>
    <row r="26" spans="1:9" x14ac:dyDescent="0.35">
      <c r="A26" s="13" t="s">
        <v>23</v>
      </c>
      <c r="B26" s="16">
        <v>417</v>
      </c>
      <c r="C26" s="16">
        <v>406</v>
      </c>
      <c r="D26" s="16">
        <v>303</v>
      </c>
      <c r="E26" s="16">
        <v>70</v>
      </c>
      <c r="F26" s="16">
        <v>417</v>
      </c>
      <c r="G26" s="16">
        <v>145</v>
      </c>
      <c r="H26" s="11"/>
      <c r="I26" s="12">
        <v>1.5</v>
      </c>
    </row>
    <row r="27" spans="1:9" x14ac:dyDescent="0.35">
      <c r="A27" s="13" t="s">
        <v>24</v>
      </c>
      <c r="B27" s="16">
        <v>1968</v>
      </c>
      <c r="C27" s="16">
        <v>1924</v>
      </c>
      <c r="D27" s="16">
        <v>1318</v>
      </c>
      <c r="E27" s="16">
        <v>296</v>
      </c>
      <c r="F27" s="16">
        <v>1969</v>
      </c>
      <c r="G27" s="16">
        <v>590</v>
      </c>
      <c r="H27" s="11"/>
      <c r="I27" s="12">
        <v>5.9039999999999999</v>
      </c>
    </row>
    <row r="28" spans="1:9" x14ac:dyDescent="0.35">
      <c r="A28" s="10" t="s">
        <v>25</v>
      </c>
      <c r="B28" s="15">
        <v>8121</v>
      </c>
      <c r="C28" s="15">
        <v>7962</v>
      </c>
      <c r="D28" s="15">
        <v>6079</v>
      </c>
      <c r="E28" s="15">
        <v>1473</v>
      </c>
      <c r="F28" s="15">
        <v>8131</v>
      </c>
      <c r="G28" s="15">
        <v>2898</v>
      </c>
      <c r="H28" s="11"/>
      <c r="I28" s="12">
        <v>24.363</v>
      </c>
    </row>
    <row r="29" spans="1:9" x14ac:dyDescent="0.35">
      <c r="A29" s="13" t="s">
        <v>26</v>
      </c>
      <c r="B29" s="16">
        <v>706</v>
      </c>
      <c r="C29" s="16">
        <v>689</v>
      </c>
      <c r="D29" s="16">
        <v>493</v>
      </c>
      <c r="E29" s="16">
        <v>92</v>
      </c>
      <c r="F29" s="16">
        <v>706</v>
      </c>
      <c r="G29" s="16">
        <v>205</v>
      </c>
      <c r="H29" s="11"/>
      <c r="I29" s="12">
        <v>2.1179999999999999</v>
      </c>
    </row>
    <row r="30" spans="1:9" x14ac:dyDescent="0.35">
      <c r="A30" s="13" t="s">
        <v>27</v>
      </c>
      <c r="B30" s="16">
        <v>1214</v>
      </c>
      <c r="C30" s="16">
        <v>1197</v>
      </c>
      <c r="D30" s="16">
        <v>906</v>
      </c>
      <c r="E30" s="16">
        <v>186</v>
      </c>
      <c r="F30" s="16">
        <v>1214</v>
      </c>
      <c r="G30" s="16">
        <v>404</v>
      </c>
      <c r="H30" s="11"/>
      <c r="I30" s="12">
        <v>3.6419999999999999</v>
      </c>
    </row>
    <row r="31" spans="1:9" x14ac:dyDescent="0.35">
      <c r="A31" s="13" t="s">
        <v>28</v>
      </c>
      <c r="B31" s="16">
        <v>1441</v>
      </c>
      <c r="C31" s="16">
        <v>1415</v>
      </c>
      <c r="D31" s="16">
        <v>1116</v>
      </c>
      <c r="E31" s="16">
        <v>278</v>
      </c>
      <c r="F31" s="16">
        <v>1442</v>
      </c>
      <c r="G31" s="16">
        <v>540</v>
      </c>
      <c r="H31" s="11"/>
      <c r="I31" s="12">
        <v>4.3230000000000004</v>
      </c>
    </row>
    <row r="32" spans="1:9" x14ac:dyDescent="0.35">
      <c r="A32" s="13" t="s">
        <v>29</v>
      </c>
      <c r="B32" s="16">
        <v>561</v>
      </c>
      <c r="C32" s="16">
        <v>547</v>
      </c>
      <c r="D32" s="16">
        <v>404</v>
      </c>
      <c r="E32" s="16">
        <v>86</v>
      </c>
      <c r="F32" s="16">
        <v>562</v>
      </c>
      <c r="G32" s="16">
        <v>190</v>
      </c>
      <c r="H32" s="11"/>
      <c r="I32" s="12">
        <v>1.6830000000000003</v>
      </c>
    </row>
    <row r="33" spans="1:9" x14ac:dyDescent="0.35">
      <c r="A33" s="13" t="s">
        <v>30</v>
      </c>
      <c r="B33" s="16">
        <v>1374</v>
      </c>
      <c r="C33" s="16">
        <v>1344</v>
      </c>
      <c r="D33" s="16">
        <v>1023</v>
      </c>
      <c r="E33" s="16">
        <v>336</v>
      </c>
      <c r="F33" s="16">
        <v>1374</v>
      </c>
      <c r="G33" s="16">
        <v>564</v>
      </c>
      <c r="H33" s="11"/>
      <c r="I33" s="12">
        <v>4.1219999999999999</v>
      </c>
    </row>
    <row r="34" spans="1:9" x14ac:dyDescent="0.35">
      <c r="A34" s="13" t="s">
        <v>31</v>
      </c>
      <c r="B34" s="16">
        <v>635</v>
      </c>
      <c r="C34" s="16">
        <v>622</v>
      </c>
      <c r="D34" s="16">
        <v>451</v>
      </c>
      <c r="E34" s="16">
        <v>101</v>
      </c>
      <c r="F34" s="16">
        <v>635</v>
      </c>
      <c r="G34" s="16">
        <v>192</v>
      </c>
      <c r="H34" s="11"/>
      <c r="I34" s="12">
        <v>1.905</v>
      </c>
    </row>
    <row r="35" spans="1:9" x14ac:dyDescent="0.35">
      <c r="A35" s="13" t="s">
        <v>32</v>
      </c>
      <c r="B35" s="16">
        <v>406</v>
      </c>
      <c r="C35" s="16">
        <v>397</v>
      </c>
      <c r="D35" s="16">
        <v>304</v>
      </c>
      <c r="E35" s="16">
        <v>83</v>
      </c>
      <c r="F35" s="16">
        <v>406</v>
      </c>
      <c r="G35" s="16">
        <v>154</v>
      </c>
      <c r="H35" s="11"/>
      <c r="I35" s="12">
        <v>1.5</v>
      </c>
    </row>
    <row r="36" spans="1:9" x14ac:dyDescent="0.35">
      <c r="A36" s="13" t="s">
        <v>33</v>
      </c>
      <c r="B36" s="16">
        <v>1126</v>
      </c>
      <c r="C36" s="16">
        <v>1110</v>
      </c>
      <c r="D36" s="16">
        <v>920</v>
      </c>
      <c r="E36" s="16">
        <v>184</v>
      </c>
      <c r="F36" s="16">
        <v>1132</v>
      </c>
      <c r="G36" s="16">
        <v>414</v>
      </c>
      <c r="H36" s="11"/>
      <c r="I36" s="12">
        <v>3.3779999999999997</v>
      </c>
    </row>
    <row r="37" spans="1:9" x14ac:dyDescent="0.35">
      <c r="A37" s="13" t="s">
        <v>34</v>
      </c>
      <c r="B37" s="16">
        <v>658</v>
      </c>
      <c r="C37" s="16">
        <v>641</v>
      </c>
      <c r="D37" s="16">
        <v>462</v>
      </c>
      <c r="E37" s="16">
        <v>127</v>
      </c>
      <c r="F37" s="16">
        <v>660</v>
      </c>
      <c r="G37" s="16">
        <v>235</v>
      </c>
      <c r="H37" s="11"/>
      <c r="I37" s="12">
        <v>1.9740000000000002</v>
      </c>
    </row>
    <row r="38" spans="1:9" x14ac:dyDescent="0.35">
      <c r="A38" s="10" t="s">
        <v>35</v>
      </c>
      <c r="B38" s="15">
        <v>18502</v>
      </c>
      <c r="C38" s="15">
        <v>18280</v>
      </c>
      <c r="D38" s="15">
        <v>14786</v>
      </c>
      <c r="E38" s="15">
        <v>4076</v>
      </c>
      <c r="F38" s="15">
        <v>18516</v>
      </c>
      <c r="G38" s="15">
        <v>8919</v>
      </c>
      <c r="H38" s="11"/>
      <c r="I38" s="12">
        <v>55.506</v>
      </c>
    </row>
    <row r="39" spans="1:9" x14ac:dyDescent="0.35">
      <c r="A39" s="13" t="s">
        <v>36</v>
      </c>
      <c r="B39" s="16">
        <v>10811</v>
      </c>
      <c r="C39" s="16">
        <v>10691</v>
      </c>
      <c r="D39" s="16">
        <v>8897</v>
      </c>
      <c r="E39" s="16">
        <v>2396</v>
      </c>
      <c r="F39" s="16">
        <v>10817</v>
      </c>
      <c r="G39" s="16">
        <v>5449</v>
      </c>
      <c r="H39" s="11"/>
      <c r="I39" s="12">
        <v>32.433</v>
      </c>
    </row>
    <row r="40" spans="1:9" x14ac:dyDescent="0.35">
      <c r="A40" s="13" t="s">
        <v>71</v>
      </c>
      <c r="B40" s="16">
        <v>3280</v>
      </c>
      <c r="C40" s="16">
        <v>3226</v>
      </c>
      <c r="D40" s="16">
        <v>2540</v>
      </c>
      <c r="E40" s="16">
        <v>651</v>
      </c>
      <c r="F40" s="16">
        <v>3282</v>
      </c>
      <c r="G40" s="16">
        <v>1491</v>
      </c>
      <c r="H40" s="11"/>
      <c r="I40" s="12">
        <v>9.84</v>
      </c>
    </row>
    <row r="41" spans="1:9" x14ac:dyDescent="0.35">
      <c r="A41" s="13" t="s">
        <v>72</v>
      </c>
      <c r="B41" s="16">
        <v>1623</v>
      </c>
      <c r="C41" s="16">
        <v>1598</v>
      </c>
      <c r="D41" s="16">
        <v>1224</v>
      </c>
      <c r="E41" s="16">
        <v>441</v>
      </c>
      <c r="F41" s="16">
        <v>1627</v>
      </c>
      <c r="G41" s="16">
        <v>751</v>
      </c>
      <c r="H41" s="11"/>
      <c r="I41" s="12">
        <v>4.8689999999999998</v>
      </c>
    </row>
    <row r="42" spans="1:9" x14ac:dyDescent="0.35">
      <c r="A42" s="13" t="s">
        <v>37</v>
      </c>
      <c r="B42" s="16">
        <v>2788</v>
      </c>
      <c r="C42" s="16">
        <v>2765</v>
      </c>
      <c r="D42" s="16">
        <v>2125</v>
      </c>
      <c r="E42" s="16">
        <v>588</v>
      </c>
      <c r="F42" s="16">
        <v>2790</v>
      </c>
      <c r="G42" s="16">
        <v>1228</v>
      </c>
      <c r="H42" s="11"/>
      <c r="I42" s="12">
        <v>8.363999999999999</v>
      </c>
    </row>
    <row r="43" spans="1:9" x14ac:dyDescent="0.35">
      <c r="A43" s="10" t="s">
        <v>38</v>
      </c>
      <c r="B43" s="15">
        <v>137</v>
      </c>
      <c r="C43" s="15">
        <v>133</v>
      </c>
      <c r="D43" s="15">
        <v>95</v>
      </c>
      <c r="E43" s="15">
        <v>15</v>
      </c>
      <c r="F43" s="15">
        <v>137</v>
      </c>
      <c r="G43" s="15">
        <v>29</v>
      </c>
      <c r="H43" s="11"/>
      <c r="I43" s="12">
        <v>1.5</v>
      </c>
    </row>
    <row r="44" spans="1:9" x14ac:dyDescent="0.35">
      <c r="A44" s="10" t="s">
        <v>39</v>
      </c>
      <c r="B44" s="15">
        <v>11643</v>
      </c>
      <c r="C44" s="15">
        <v>11497</v>
      </c>
      <c r="D44" s="15">
        <v>8806</v>
      </c>
      <c r="E44" s="15">
        <v>1945</v>
      </c>
      <c r="F44" s="15">
        <v>11652</v>
      </c>
      <c r="G44" s="15">
        <v>4924</v>
      </c>
      <c r="H44" s="11"/>
      <c r="I44" s="12">
        <v>34.929000000000002</v>
      </c>
    </row>
    <row r="45" spans="1:9" x14ac:dyDescent="0.35">
      <c r="A45" s="13" t="s">
        <v>78</v>
      </c>
      <c r="B45" s="16">
        <v>4649</v>
      </c>
      <c r="C45" s="16">
        <v>4601</v>
      </c>
      <c r="D45" s="16">
        <v>3516</v>
      </c>
      <c r="E45" s="16">
        <v>896</v>
      </c>
      <c r="F45" s="16">
        <v>4655</v>
      </c>
      <c r="G45" s="16">
        <v>2002</v>
      </c>
      <c r="H45" s="11"/>
      <c r="I45" s="12">
        <v>13.946999999999999</v>
      </c>
    </row>
    <row r="46" spans="1:9" x14ac:dyDescent="0.35">
      <c r="A46" s="13" t="s">
        <v>40</v>
      </c>
      <c r="B46" s="16">
        <v>1653</v>
      </c>
      <c r="C46" s="16">
        <v>1634</v>
      </c>
      <c r="D46" s="16">
        <v>1214</v>
      </c>
      <c r="E46" s="16">
        <v>279</v>
      </c>
      <c r="F46" s="16">
        <v>1653</v>
      </c>
      <c r="G46" s="16">
        <v>665</v>
      </c>
      <c r="H46" s="11"/>
      <c r="I46" s="12">
        <v>4.9589999999999996</v>
      </c>
    </row>
    <row r="47" spans="1:9" x14ac:dyDescent="0.35">
      <c r="A47" s="13" t="s">
        <v>41</v>
      </c>
      <c r="B47" s="16">
        <v>5341</v>
      </c>
      <c r="C47" s="16">
        <v>5262</v>
      </c>
      <c r="D47" s="16">
        <v>4076</v>
      </c>
      <c r="E47" s="16">
        <v>770</v>
      </c>
      <c r="F47" s="16">
        <v>5344</v>
      </c>
      <c r="G47" s="16">
        <v>2257</v>
      </c>
      <c r="H47" s="11"/>
      <c r="I47" s="12">
        <v>16.023</v>
      </c>
    </row>
    <row r="48" spans="1:9" x14ac:dyDescent="0.35">
      <c r="A48" s="10" t="s">
        <v>42</v>
      </c>
      <c r="B48" s="15">
        <v>3497</v>
      </c>
      <c r="C48" s="15">
        <v>3429</v>
      </c>
      <c r="D48" s="15">
        <v>2415</v>
      </c>
      <c r="E48" s="15">
        <v>529</v>
      </c>
      <c r="F48" s="15">
        <v>3499</v>
      </c>
      <c r="G48" s="15">
        <v>1193</v>
      </c>
      <c r="H48" s="11"/>
      <c r="I48" s="12">
        <v>10.491</v>
      </c>
    </row>
    <row r="49" spans="1:9" x14ac:dyDescent="0.35">
      <c r="A49" s="13" t="s">
        <v>43</v>
      </c>
      <c r="B49" s="16">
        <v>1980</v>
      </c>
      <c r="C49" s="16">
        <v>1944</v>
      </c>
      <c r="D49" s="16">
        <v>1369</v>
      </c>
      <c r="E49" s="16">
        <v>304</v>
      </c>
      <c r="F49" s="16">
        <v>1981</v>
      </c>
      <c r="G49" s="16">
        <v>681</v>
      </c>
      <c r="H49" s="11"/>
      <c r="I49" s="12">
        <v>5.9399999999999995</v>
      </c>
    </row>
    <row r="50" spans="1:9" x14ac:dyDescent="0.35">
      <c r="A50" s="13" t="s">
        <v>44</v>
      </c>
      <c r="B50" s="16">
        <v>1517</v>
      </c>
      <c r="C50" s="16">
        <v>1485</v>
      </c>
      <c r="D50" s="16">
        <v>1046</v>
      </c>
      <c r="E50" s="16">
        <v>225</v>
      </c>
      <c r="F50" s="16">
        <v>1518</v>
      </c>
      <c r="G50" s="16">
        <v>512</v>
      </c>
      <c r="H50" s="11"/>
      <c r="I50" s="12">
        <v>4.5510000000000002</v>
      </c>
    </row>
    <row r="51" spans="1:9" x14ac:dyDescent="0.35">
      <c r="A51" s="10" t="s">
        <v>45</v>
      </c>
      <c r="B51" s="15">
        <v>7404</v>
      </c>
      <c r="C51" s="15">
        <v>7262</v>
      </c>
      <c r="D51" s="15">
        <v>5955</v>
      </c>
      <c r="E51" s="15">
        <v>1475</v>
      </c>
      <c r="F51" s="15">
        <v>7407</v>
      </c>
      <c r="G51" s="15">
        <v>3298</v>
      </c>
      <c r="H51" s="11"/>
      <c r="I51" s="12">
        <v>22.212</v>
      </c>
    </row>
    <row r="52" spans="1:9" x14ac:dyDescent="0.35">
      <c r="A52" s="13" t="s">
        <v>73</v>
      </c>
      <c r="B52" s="16">
        <v>2999</v>
      </c>
      <c r="C52" s="16">
        <v>2946</v>
      </c>
      <c r="D52" s="16">
        <v>2445</v>
      </c>
      <c r="E52" s="16">
        <v>582</v>
      </c>
      <c r="F52" s="16">
        <v>2999</v>
      </c>
      <c r="G52" s="16">
        <v>1406</v>
      </c>
      <c r="H52" s="11"/>
      <c r="I52" s="12">
        <v>8.9969999999999999</v>
      </c>
    </row>
    <row r="53" spans="1:9" x14ac:dyDescent="0.35">
      <c r="A53" s="13" t="s">
        <v>46</v>
      </c>
      <c r="B53" s="16">
        <v>1126</v>
      </c>
      <c r="C53" s="16">
        <v>1104</v>
      </c>
      <c r="D53" s="16">
        <v>875</v>
      </c>
      <c r="E53" s="16">
        <v>253</v>
      </c>
      <c r="F53" s="16">
        <v>1126</v>
      </c>
      <c r="G53" s="16">
        <v>523</v>
      </c>
      <c r="H53" s="11"/>
      <c r="I53" s="12">
        <v>3.3779999999999997</v>
      </c>
    </row>
    <row r="54" spans="1:9" x14ac:dyDescent="0.35">
      <c r="A54" s="13" t="s">
        <v>74</v>
      </c>
      <c r="B54" s="16">
        <v>861</v>
      </c>
      <c r="C54" s="16">
        <v>835</v>
      </c>
      <c r="D54" s="16">
        <v>643</v>
      </c>
      <c r="E54" s="16">
        <v>167</v>
      </c>
      <c r="F54" s="16">
        <v>862</v>
      </c>
      <c r="G54" s="16">
        <v>327</v>
      </c>
      <c r="H54" s="11"/>
      <c r="I54" s="12">
        <v>2.5830000000000002</v>
      </c>
    </row>
    <row r="55" spans="1:9" x14ac:dyDescent="0.35">
      <c r="A55" s="13" t="s">
        <v>47</v>
      </c>
      <c r="B55" s="16">
        <v>2418</v>
      </c>
      <c r="C55" s="16">
        <v>2377</v>
      </c>
      <c r="D55" s="16">
        <v>1992</v>
      </c>
      <c r="E55" s="16">
        <v>473</v>
      </c>
      <c r="F55" s="16">
        <v>2420</v>
      </c>
      <c r="G55" s="16">
        <v>1042</v>
      </c>
      <c r="H55" s="11"/>
      <c r="I55" s="12">
        <v>7.2540000000000004</v>
      </c>
    </row>
    <row r="56" spans="1:9" x14ac:dyDescent="0.35">
      <c r="A56" s="10" t="s">
        <v>48</v>
      </c>
      <c r="B56" s="15">
        <v>3014</v>
      </c>
      <c r="C56" s="15">
        <v>2982</v>
      </c>
      <c r="D56" s="15">
        <v>2177</v>
      </c>
      <c r="E56" s="15">
        <v>492</v>
      </c>
      <c r="F56" s="15">
        <v>3015</v>
      </c>
      <c r="G56" s="15">
        <v>1282</v>
      </c>
      <c r="H56" s="11"/>
      <c r="I56" s="12">
        <v>9.0419999999999998</v>
      </c>
    </row>
    <row r="57" spans="1:9" x14ac:dyDescent="0.35">
      <c r="A57" s="13" t="s">
        <v>48</v>
      </c>
      <c r="B57" s="16">
        <v>3014</v>
      </c>
      <c r="C57" s="16">
        <v>2982</v>
      </c>
      <c r="D57" s="16">
        <v>2177</v>
      </c>
      <c r="E57" s="16">
        <v>492</v>
      </c>
      <c r="F57" s="16">
        <v>3015</v>
      </c>
      <c r="G57" s="16">
        <v>1282</v>
      </c>
      <c r="H57" s="11"/>
      <c r="I57" s="12">
        <v>9.0419999999999998</v>
      </c>
    </row>
    <row r="58" spans="1:9" x14ac:dyDescent="0.35">
      <c r="A58" s="10" t="s">
        <v>49</v>
      </c>
      <c r="B58" s="15">
        <v>908</v>
      </c>
      <c r="C58" s="15">
        <v>887</v>
      </c>
      <c r="D58" s="15">
        <v>669</v>
      </c>
      <c r="E58" s="15">
        <v>148</v>
      </c>
      <c r="F58" s="15">
        <v>908</v>
      </c>
      <c r="G58" s="15">
        <v>297</v>
      </c>
      <c r="H58" s="11"/>
      <c r="I58" s="12">
        <v>2.7240000000000002</v>
      </c>
    </row>
    <row r="59" spans="1:9" x14ac:dyDescent="0.35">
      <c r="A59" s="13" t="s">
        <v>49</v>
      </c>
      <c r="B59" s="16">
        <v>908</v>
      </c>
      <c r="C59" s="16">
        <v>887</v>
      </c>
      <c r="D59" s="16">
        <v>669</v>
      </c>
      <c r="E59" s="16">
        <v>148</v>
      </c>
      <c r="F59" s="16">
        <v>908</v>
      </c>
      <c r="G59" s="16">
        <v>297</v>
      </c>
      <c r="H59" s="11"/>
      <c r="I59" s="12">
        <v>2.7240000000000002</v>
      </c>
    </row>
    <row r="60" spans="1:9" x14ac:dyDescent="0.35">
      <c r="A60" s="10" t="s">
        <v>50</v>
      </c>
      <c r="B60" s="15">
        <v>6443</v>
      </c>
      <c r="C60" s="15">
        <v>6331</v>
      </c>
      <c r="D60" s="15">
        <v>5118</v>
      </c>
      <c r="E60" s="15">
        <v>1410</v>
      </c>
      <c r="F60" s="15">
        <v>6446</v>
      </c>
      <c r="G60" s="15">
        <v>3080</v>
      </c>
      <c r="H60" s="11"/>
      <c r="I60" s="12">
        <v>19.329000000000001</v>
      </c>
    </row>
    <row r="61" spans="1:9" x14ac:dyDescent="0.35">
      <c r="A61" s="13" t="s">
        <v>50</v>
      </c>
      <c r="B61" s="16">
        <v>6443</v>
      </c>
      <c r="C61" s="16">
        <v>6331</v>
      </c>
      <c r="D61" s="16">
        <v>5118</v>
      </c>
      <c r="E61" s="16">
        <v>1410</v>
      </c>
      <c r="F61" s="16">
        <v>6446</v>
      </c>
      <c r="G61" s="16">
        <v>3080</v>
      </c>
      <c r="H61" s="11"/>
      <c r="I61" s="12">
        <v>19.329000000000001</v>
      </c>
    </row>
    <row r="62" spans="1:9" x14ac:dyDescent="0.35">
      <c r="A62" s="10" t="s">
        <v>51</v>
      </c>
      <c r="B62" s="15">
        <v>171</v>
      </c>
      <c r="C62" s="15">
        <v>170</v>
      </c>
      <c r="D62" s="15">
        <v>106</v>
      </c>
      <c r="E62" s="15">
        <v>11</v>
      </c>
      <c r="F62" s="15">
        <v>171</v>
      </c>
      <c r="G62" s="15">
        <v>31</v>
      </c>
      <c r="H62" s="11"/>
      <c r="I62" s="12">
        <v>1.5</v>
      </c>
    </row>
    <row r="63" spans="1:9" x14ac:dyDescent="0.35">
      <c r="A63" s="10" t="s">
        <v>52</v>
      </c>
      <c r="B63" s="15">
        <v>3612</v>
      </c>
      <c r="C63" s="15">
        <v>3527</v>
      </c>
      <c r="D63" s="15">
        <v>2588</v>
      </c>
      <c r="E63" s="15">
        <v>581</v>
      </c>
      <c r="F63" s="15">
        <v>3615</v>
      </c>
      <c r="G63" s="15">
        <v>1343</v>
      </c>
      <c r="H63" s="11"/>
      <c r="I63" s="12">
        <v>10.836</v>
      </c>
    </row>
    <row r="64" spans="1:9" x14ac:dyDescent="0.35">
      <c r="A64" s="13" t="s">
        <v>52</v>
      </c>
      <c r="B64" s="16">
        <v>3612</v>
      </c>
      <c r="C64" s="16">
        <v>3527</v>
      </c>
      <c r="D64" s="16">
        <v>2588</v>
      </c>
      <c r="E64" s="16">
        <v>581</v>
      </c>
      <c r="F64" s="16">
        <v>3615</v>
      </c>
      <c r="G64" s="16">
        <v>1343</v>
      </c>
      <c r="H64" s="11"/>
      <c r="I64" s="12">
        <v>10.836</v>
      </c>
    </row>
    <row r="65" spans="1:9" x14ac:dyDescent="0.35">
      <c r="A65" s="10" t="s">
        <v>53</v>
      </c>
      <c r="B65" s="15">
        <v>2027</v>
      </c>
      <c r="C65" s="15">
        <v>2012</v>
      </c>
      <c r="D65" s="15">
        <v>1548</v>
      </c>
      <c r="E65" s="15">
        <v>372</v>
      </c>
      <c r="F65" s="15">
        <v>2027</v>
      </c>
      <c r="G65" s="15">
        <v>786</v>
      </c>
      <c r="H65" s="11"/>
      <c r="I65" s="12">
        <v>6.0810000000000004</v>
      </c>
    </row>
    <row r="66" spans="1:9" x14ac:dyDescent="0.35">
      <c r="A66" s="13" t="s">
        <v>53</v>
      </c>
      <c r="B66" s="16">
        <v>2027</v>
      </c>
      <c r="C66" s="16">
        <v>2012</v>
      </c>
      <c r="D66" s="16">
        <v>1548</v>
      </c>
      <c r="E66" s="16">
        <v>372</v>
      </c>
      <c r="F66" s="16">
        <v>2027</v>
      </c>
      <c r="G66" s="16">
        <v>786</v>
      </c>
      <c r="H66" s="11"/>
      <c r="I66" s="12">
        <v>6.0810000000000004</v>
      </c>
    </row>
    <row r="67" spans="1:9" x14ac:dyDescent="0.35">
      <c r="A67" s="10" t="s">
        <v>54</v>
      </c>
      <c r="B67" s="15">
        <v>5225</v>
      </c>
      <c r="C67" s="15">
        <v>5165</v>
      </c>
      <c r="D67" s="15">
        <v>4146</v>
      </c>
      <c r="E67" s="15">
        <v>783</v>
      </c>
      <c r="F67" s="15">
        <v>5230</v>
      </c>
      <c r="G67" s="15">
        <v>2062</v>
      </c>
      <c r="H67" s="11"/>
      <c r="I67" s="12">
        <v>15.674999999999999</v>
      </c>
    </row>
    <row r="68" spans="1:9" x14ac:dyDescent="0.35">
      <c r="A68" s="13" t="s">
        <v>75</v>
      </c>
      <c r="B68" s="16">
        <v>711</v>
      </c>
      <c r="C68" s="16">
        <v>701</v>
      </c>
      <c r="D68" s="16">
        <v>587</v>
      </c>
      <c r="E68" s="16">
        <v>124</v>
      </c>
      <c r="F68" s="16">
        <v>711</v>
      </c>
      <c r="G68" s="16">
        <v>307</v>
      </c>
      <c r="H68" s="11"/>
      <c r="I68" s="12">
        <v>2.133</v>
      </c>
    </row>
    <row r="69" spans="1:9" x14ac:dyDescent="0.35">
      <c r="A69" s="13" t="s">
        <v>76</v>
      </c>
      <c r="B69" s="16">
        <v>1846</v>
      </c>
      <c r="C69" s="16">
        <v>1822</v>
      </c>
      <c r="D69" s="16">
        <v>1460</v>
      </c>
      <c r="E69" s="16">
        <v>299</v>
      </c>
      <c r="F69" s="16">
        <v>1847</v>
      </c>
      <c r="G69" s="16">
        <v>714</v>
      </c>
      <c r="H69" s="11"/>
      <c r="I69" s="12">
        <v>5.5380000000000003</v>
      </c>
    </row>
    <row r="70" spans="1:9" x14ac:dyDescent="0.35">
      <c r="A70" s="13" t="s">
        <v>77</v>
      </c>
      <c r="B70" s="16">
        <v>2668</v>
      </c>
      <c r="C70" s="16">
        <v>2642</v>
      </c>
      <c r="D70" s="16">
        <v>2099</v>
      </c>
      <c r="E70" s="16">
        <v>360</v>
      </c>
      <c r="F70" s="16">
        <v>2672</v>
      </c>
      <c r="G70" s="16">
        <v>1041</v>
      </c>
      <c r="H70" s="11"/>
      <c r="I70" s="12">
        <v>8.0040000000000013</v>
      </c>
    </row>
    <row r="71" spans="1:9" x14ac:dyDescent="0.35">
      <c r="A71" s="14" t="s">
        <v>0</v>
      </c>
      <c r="B71" s="17">
        <v>108355</v>
      </c>
      <c r="C71" s="17">
        <v>105576</v>
      </c>
      <c r="D71" s="17">
        <v>82201</v>
      </c>
      <c r="E71" s="17">
        <v>20360</v>
      </c>
      <c r="F71" s="17">
        <v>108421</v>
      </c>
      <c r="G71" s="17">
        <v>45021</v>
      </c>
      <c r="H71" s="11"/>
      <c r="I71" s="12">
        <v>162.5325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B1" workbookViewId="0">
      <selection activeCell="B27" sqref="B27"/>
    </sheetView>
  </sheetViews>
  <sheetFormatPr baseColWidth="10" defaultRowHeight="14.5" x14ac:dyDescent="0.35"/>
  <cols>
    <col min="1" max="1" width="21.81640625" customWidth="1"/>
    <col min="2" max="2" width="23.54296875" bestFit="1" customWidth="1"/>
  </cols>
  <sheetData>
    <row r="1" spans="1:14" x14ac:dyDescent="0.35">
      <c r="A1" t="s">
        <v>69</v>
      </c>
      <c r="B1" t="s">
        <v>82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14" x14ac:dyDescent="0.35">
      <c r="A2" s="2" t="s">
        <v>0</v>
      </c>
      <c r="B2" s="2" t="s">
        <v>81</v>
      </c>
      <c r="C2">
        <f>IFERROR(ROUNDUP(INDEX(Tabla1[#Data],MATCH(A2,Tabla1[X],0),9),2),0)</f>
        <v>162.54</v>
      </c>
      <c r="D2">
        <f>IFERROR(INDEX(Tabla1[#Data],MATCH(A2,Tabla1[X],0),2),0)</f>
        <v>108355</v>
      </c>
      <c r="E2">
        <f>IFERROR(INDEX(Tabla1[#Data],MATCH(A2,Tabla1[X],0),3),0)</f>
        <v>105576</v>
      </c>
      <c r="F2">
        <f>IFERROR(INDEX(Tabla1[#Data],MATCH(A2,Tabla1[X],0),4),0)</f>
        <v>82201</v>
      </c>
      <c r="G2">
        <f>IFERROR(INDEX(Tabla1[#Data],MATCH(A2,Tabla1[X],0),5),0)</f>
        <v>20360</v>
      </c>
      <c r="H2">
        <f>IFERROR(INDEX(Tabla1[#Data],MATCH(A2,Tabla1[X],0),6),0)</f>
        <v>108421</v>
      </c>
      <c r="I2">
        <f>IFERROR(INDEX(Tabla1[#Data],MATCH(A2,Tabla1[X],0),7),0)</f>
        <v>45021</v>
      </c>
      <c r="N2" s="3" t="s">
        <v>1</v>
      </c>
    </row>
    <row r="3" spans="1:14" x14ac:dyDescent="0.35">
      <c r="A3" s="3" t="s">
        <v>1</v>
      </c>
      <c r="B3" s="3" t="s">
        <v>83</v>
      </c>
      <c r="C3">
        <f>IFERROR(ROUNDUP(INDEX(Tabla1[#Data],MATCH(A3,Tabla1[X],0),9),2),0)</f>
        <v>56.89</v>
      </c>
      <c r="D3">
        <f>IFERROR(INDEX(Tabla1[#Data],MATCH(A3,Tabla1[X],0),2),0)</f>
        <v>18961</v>
      </c>
      <c r="E3">
        <f>IFERROR(INDEX(Tabla1[#Data],MATCH(A3,Tabla1[X],0),3),0)</f>
        <v>18657</v>
      </c>
      <c r="F3">
        <f>IFERROR(INDEX(Tabla1[#Data],MATCH(A3,Tabla1[X],0),4),0)</f>
        <v>13688</v>
      </c>
      <c r="G3">
        <f>IFERROR(INDEX(Tabla1[#Data],MATCH(A3,Tabla1[X],0),5),0)</f>
        <v>3598</v>
      </c>
      <c r="H3">
        <f>IFERROR(INDEX(Tabla1[#Data],MATCH(A3,Tabla1[X],0),6),0)</f>
        <v>18968</v>
      </c>
      <c r="I3">
        <f>IFERROR(INDEX(Tabla1[#Data],MATCH(A3,Tabla1[X],0),7),0)</f>
        <v>7267</v>
      </c>
      <c r="N3" s="3" t="s">
        <v>10</v>
      </c>
    </row>
    <row r="4" spans="1:14" x14ac:dyDescent="0.35">
      <c r="A4" s="3" t="s">
        <v>10</v>
      </c>
      <c r="B4" s="3" t="s">
        <v>84</v>
      </c>
      <c r="C4">
        <f>IFERROR(ROUNDUP(INDEX(Tabla1[#Data],MATCH(A4,Tabla1[X],0),9),2),0)</f>
        <v>11.01</v>
      </c>
      <c r="D4">
        <f>IFERROR(INDEX(Tabla1[#Data],MATCH(A4,Tabla1[X],0),2),0)</f>
        <v>3670</v>
      </c>
      <c r="E4">
        <f>IFERROR(INDEX(Tabla1[#Data],MATCH(A4,Tabla1[X],0),3),0)</f>
        <v>3616</v>
      </c>
      <c r="F4">
        <f>IFERROR(INDEX(Tabla1[#Data],MATCH(A4,Tabla1[X],0),4),0)</f>
        <v>2814</v>
      </c>
      <c r="G4">
        <f>IFERROR(INDEX(Tabla1[#Data],MATCH(A4,Tabla1[X],0),5),0)</f>
        <v>783</v>
      </c>
      <c r="H4">
        <f>IFERROR(INDEX(Tabla1[#Data],MATCH(A4,Tabla1[X],0),6),0)</f>
        <v>3672</v>
      </c>
      <c r="I4">
        <f>IFERROR(INDEX(Tabla1[#Data],MATCH(A4,Tabla1[X],0),7),0)</f>
        <v>1521</v>
      </c>
      <c r="N4" s="3" t="s">
        <v>14</v>
      </c>
    </row>
    <row r="5" spans="1:14" x14ac:dyDescent="0.35">
      <c r="A5" s="3" t="s">
        <v>14</v>
      </c>
      <c r="B5" s="3" t="s">
        <v>14</v>
      </c>
      <c r="C5">
        <f>IFERROR(ROUNDUP(INDEX(Tabla1[#Data],MATCH(A5,Tabla1[X],0),9),2),0)</f>
        <v>7.7799999999999994</v>
      </c>
      <c r="D5">
        <f>IFERROR(INDEX(Tabla1[#Data],MATCH(A5,Tabla1[X],0),2),0)</f>
        <v>2591</v>
      </c>
      <c r="E5">
        <f>IFERROR(INDEX(Tabla1[#Data],MATCH(A5,Tabla1[X],0),3),0)</f>
        <v>2551</v>
      </c>
      <c r="F5">
        <f>IFERROR(INDEX(Tabla1[#Data],MATCH(A5,Tabla1[X],0),4),0)</f>
        <v>2059</v>
      </c>
      <c r="G5">
        <f>IFERROR(INDEX(Tabla1[#Data],MATCH(A5,Tabla1[X],0),5),0)</f>
        <v>560</v>
      </c>
      <c r="H5">
        <f>IFERROR(INDEX(Tabla1[#Data],MATCH(A5,Tabla1[X],0),6),0)</f>
        <v>2593</v>
      </c>
      <c r="I5">
        <f>IFERROR(INDEX(Tabla1[#Data],MATCH(A5,Tabla1[X],0),7),0)</f>
        <v>1194</v>
      </c>
      <c r="N5" s="3" t="s">
        <v>15</v>
      </c>
    </row>
    <row r="6" spans="1:14" x14ac:dyDescent="0.35">
      <c r="A6" s="3" t="s">
        <v>15</v>
      </c>
      <c r="B6" s="3" t="s">
        <v>15</v>
      </c>
      <c r="C6">
        <f>IFERROR(ROUNDUP(INDEX(Tabla1[#Data],MATCH(A6,Tabla1[X],0),9),2),0)</f>
        <v>12.65</v>
      </c>
      <c r="D6">
        <f>IFERROR(INDEX(Tabla1[#Data],MATCH(A6,Tabla1[X],0),2),0)</f>
        <v>4215</v>
      </c>
      <c r="E6">
        <f>IFERROR(INDEX(Tabla1[#Data],MATCH(A6,Tabla1[X],0),3),0)</f>
        <v>4135</v>
      </c>
      <c r="F6">
        <f>IFERROR(INDEX(Tabla1[#Data],MATCH(A6,Tabla1[X],0),4),0)</f>
        <v>3260</v>
      </c>
      <c r="G6">
        <f>IFERROR(INDEX(Tabla1[#Data],MATCH(A6,Tabla1[X],0),5),0)</f>
        <v>728</v>
      </c>
      <c r="H6">
        <f>IFERROR(INDEX(Tabla1[#Data],MATCH(A6,Tabla1[X],0),6),0)</f>
        <v>4217</v>
      </c>
      <c r="I6">
        <f>IFERROR(INDEX(Tabla1[#Data],MATCH(A6,Tabla1[X],0),7),0)</f>
        <v>1941</v>
      </c>
      <c r="N6" s="3" t="s">
        <v>18</v>
      </c>
    </row>
    <row r="7" spans="1:14" x14ac:dyDescent="0.35">
      <c r="A7" s="3" t="s">
        <v>18</v>
      </c>
      <c r="B7" s="3" t="s">
        <v>18</v>
      </c>
      <c r="C7">
        <f>IFERROR(ROUNDUP(INDEX(Tabla1[#Data],MATCH(A7,Tabla1[X],0),9),2),0)</f>
        <v>5.2799999999999994</v>
      </c>
      <c r="D7">
        <f>IFERROR(INDEX(Tabla1[#Data],MATCH(A7,Tabla1[X],0),2),0)</f>
        <v>1758</v>
      </c>
      <c r="E7">
        <f>IFERROR(INDEX(Tabla1[#Data],MATCH(A7,Tabla1[X],0),3),0)</f>
        <v>1724</v>
      </c>
      <c r="F7">
        <f>IFERROR(INDEX(Tabla1[#Data],MATCH(A7,Tabla1[X],0),4),0)</f>
        <v>1330</v>
      </c>
      <c r="G7">
        <f>IFERROR(INDEX(Tabla1[#Data],MATCH(A7,Tabla1[X],0),5),0)</f>
        <v>281</v>
      </c>
      <c r="H7">
        <f>IFERROR(INDEX(Tabla1[#Data],MATCH(A7,Tabla1[X],0),6),0)</f>
        <v>1760</v>
      </c>
      <c r="I7">
        <f>IFERROR(INDEX(Tabla1[#Data],MATCH(A7,Tabla1[X],0),7),0)</f>
        <v>672</v>
      </c>
      <c r="N7" s="3" t="s">
        <v>19</v>
      </c>
    </row>
    <row r="8" spans="1:14" x14ac:dyDescent="0.35">
      <c r="A8" s="3" t="s">
        <v>19</v>
      </c>
      <c r="B8" s="3" t="s">
        <v>19</v>
      </c>
      <c r="C8">
        <f>IFERROR(ROUNDUP(INDEX(Tabla1[#Data],MATCH(A8,Tabla1[X],0),9),2),0)</f>
        <v>15.93</v>
      </c>
      <c r="D8">
        <f>IFERROR(INDEX(Tabla1[#Data],MATCH(A8,Tabla1[X],0),2),0)</f>
        <v>5308</v>
      </c>
      <c r="E8">
        <f>IFERROR(INDEX(Tabla1[#Data],MATCH(A8,Tabla1[X],0),3),0)</f>
        <v>5174</v>
      </c>
      <c r="F8">
        <f>IFERROR(INDEX(Tabla1[#Data],MATCH(A8,Tabla1[X],0),4),0)</f>
        <v>3592</v>
      </c>
      <c r="G8">
        <f>IFERROR(INDEX(Tabla1[#Data],MATCH(A8,Tabla1[X],0),5),0)</f>
        <v>798</v>
      </c>
      <c r="H8">
        <f>IFERROR(INDEX(Tabla1[#Data],MATCH(A8,Tabla1[X],0),6),0)</f>
        <v>5309</v>
      </c>
      <c r="I8">
        <f>IFERROR(INDEX(Tabla1[#Data],MATCH(A8,Tabla1[X],0),7),0)</f>
        <v>1643</v>
      </c>
      <c r="N8" s="3" t="s">
        <v>25</v>
      </c>
    </row>
    <row r="9" spans="1:14" x14ac:dyDescent="0.35">
      <c r="A9" s="3" t="s">
        <v>25</v>
      </c>
      <c r="B9" s="3" t="s">
        <v>85</v>
      </c>
      <c r="C9">
        <f>IFERROR(ROUNDUP(INDEX(Tabla1[#Data],MATCH(A9,Tabla1[X],0),9),2),0)</f>
        <v>24.37</v>
      </c>
      <c r="D9">
        <f>IFERROR(INDEX(Tabla1[#Data],MATCH(A9,Tabla1[X],0),2),0)</f>
        <v>8121</v>
      </c>
      <c r="E9">
        <f>IFERROR(INDEX(Tabla1[#Data],MATCH(A9,Tabla1[X],0),3),0)</f>
        <v>7962</v>
      </c>
      <c r="F9">
        <f>IFERROR(INDEX(Tabla1[#Data],MATCH(A9,Tabla1[X],0),4),0)</f>
        <v>6079</v>
      </c>
      <c r="G9">
        <f>IFERROR(INDEX(Tabla1[#Data],MATCH(A9,Tabla1[X],0),5),0)</f>
        <v>1473</v>
      </c>
      <c r="H9">
        <f>IFERROR(INDEX(Tabla1[#Data],MATCH(A9,Tabla1[X],0),6),0)</f>
        <v>8131</v>
      </c>
      <c r="I9">
        <f>IFERROR(INDEX(Tabla1[#Data],MATCH(A9,Tabla1[X],0),7),0)</f>
        <v>2898</v>
      </c>
      <c r="N9" s="3" t="s">
        <v>35</v>
      </c>
    </row>
    <row r="10" spans="1:14" x14ac:dyDescent="0.35">
      <c r="A10" s="3" t="s">
        <v>35</v>
      </c>
      <c r="B10" s="3" t="s">
        <v>35</v>
      </c>
      <c r="C10">
        <f>IFERROR(ROUNDUP(INDEX(Tabla1[#Data],MATCH(A10,Tabla1[X],0),9),2),0)</f>
        <v>55.51</v>
      </c>
      <c r="D10">
        <f>IFERROR(INDEX(Tabla1[#Data],MATCH(A10,Tabla1[X],0),2),0)</f>
        <v>18502</v>
      </c>
      <c r="E10">
        <f>IFERROR(INDEX(Tabla1[#Data],MATCH(A10,Tabla1[X],0),3),0)</f>
        <v>18280</v>
      </c>
      <c r="F10">
        <f>IFERROR(INDEX(Tabla1[#Data],MATCH(A10,Tabla1[X],0),4),0)</f>
        <v>14786</v>
      </c>
      <c r="G10">
        <f>IFERROR(INDEX(Tabla1[#Data],MATCH(A10,Tabla1[X],0),5),0)</f>
        <v>4076</v>
      </c>
      <c r="H10">
        <f>IFERROR(INDEX(Tabla1[#Data],MATCH(A10,Tabla1[X],0),6),0)</f>
        <v>18516</v>
      </c>
      <c r="I10">
        <f>IFERROR(INDEX(Tabla1[#Data],MATCH(A10,Tabla1[X],0),7),0)</f>
        <v>8919</v>
      </c>
      <c r="N10" s="3" t="s">
        <v>38</v>
      </c>
    </row>
    <row r="11" spans="1:14" x14ac:dyDescent="0.35">
      <c r="A11" s="3" t="s">
        <v>38</v>
      </c>
      <c r="B11" s="3" t="s">
        <v>38</v>
      </c>
      <c r="C11">
        <f>IFERROR(ROUNDUP(INDEX(Tabla1[#Data],MATCH(A11,Tabla1[X],0),9),2),0)</f>
        <v>1.5</v>
      </c>
      <c r="D11">
        <f>IFERROR(INDEX(Tabla1[#Data],MATCH(A11,Tabla1[X],0),2),0)</f>
        <v>137</v>
      </c>
      <c r="E11">
        <f>IFERROR(INDEX(Tabla1[#Data],MATCH(A11,Tabla1[X],0),3),0)</f>
        <v>133</v>
      </c>
      <c r="F11">
        <f>IFERROR(INDEX(Tabla1[#Data],MATCH(A11,Tabla1[X],0),4),0)</f>
        <v>95</v>
      </c>
      <c r="G11">
        <f>IFERROR(INDEX(Tabla1[#Data],MATCH(A11,Tabla1[X],0),5),0)</f>
        <v>15</v>
      </c>
      <c r="H11">
        <f>IFERROR(INDEX(Tabla1[#Data],MATCH(A11,Tabla1[X],0),6),0)</f>
        <v>137</v>
      </c>
      <c r="I11">
        <f>IFERROR(INDEX(Tabla1[#Data],MATCH(A11,Tabla1[X],0),7),0)</f>
        <v>29</v>
      </c>
      <c r="N11" s="3" t="s">
        <v>70</v>
      </c>
    </row>
    <row r="12" spans="1:14" x14ac:dyDescent="0.35">
      <c r="A12" s="3" t="s">
        <v>39</v>
      </c>
      <c r="B12" s="3" t="s">
        <v>70</v>
      </c>
      <c r="C12">
        <f>IFERROR(ROUNDUP(INDEX(Tabla1[#Data],MATCH(A12,Tabla1[X],0),9),2),0)</f>
        <v>34.93</v>
      </c>
      <c r="D12">
        <f>IFERROR(INDEX(Tabla1[#Data],MATCH(A12,Tabla1[X],0),2),0)</f>
        <v>11643</v>
      </c>
      <c r="E12">
        <f>IFERROR(INDEX(Tabla1[#Data],MATCH(A12,Tabla1[X],0),3),0)</f>
        <v>11497</v>
      </c>
      <c r="F12">
        <f>IFERROR(INDEX(Tabla1[#Data],MATCH(A12,Tabla1[X],0),4),0)</f>
        <v>8806</v>
      </c>
      <c r="G12">
        <f>IFERROR(INDEX(Tabla1[#Data],MATCH(A12,Tabla1[X],0),5),0)</f>
        <v>1945</v>
      </c>
      <c r="H12">
        <f>IFERROR(INDEX(Tabla1[#Data],MATCH(A12,Tabla1[X],0),6),0)</f>
        <v>11652</v>
      </c>
      <c r="I12">
        <f>IFERROR(INDEX(Tabla1[#Data],MATCH(A12,Tabla1[X],0),7),0)</f>
        <v>4924</v>
      </c>
      <c r="N12" s="3" t="s">
        <v>42</v>
      </c>
    </row>
    <row r="13" spans="1:14" x14ac:dyDescent="0.35">
      <c r="A13" s="3" t="s">
        <v>42</v>
      </c>
      <c r="B13" s="3" t="s">
        <v>42</v>
      </c>
      <c r="C13">
        <f>IFERROR(ROUNDUP(INDEX(Tabla1[#Data],MATCH(A13,Tabla1[X],0),9),2),0)</f>
        <v>10.5</v>
      </c>
      <c r="D13">
        <f>IFERROR(INDEX(Tabla1[#Data],MATCH(A13,Tabla1[X],0),2),0)</f>
        <v>3497</v>
      </c>
      <c r="E13">
        <f>IFERROR(INDEX(Tabla1[#Data],MATCH(A13,Tabla1[X],0),3),0)</f>
        <v>3429</v>
      </c>
      <c r="F13">
        <f>IFERROR(INDEX(Tabla1[#Data],MATCH(A13,Tabla1[X],0),4),0)</f>
        <v>2415</v>
      </c>
      <c r="G13">
        <f>IFERROR(INDEX(Tabla1[#Data],MATCH(A13,Tabla1[X],0),5),0)</f>
        <v>529</v>
      </c>
      <c r="H13">
        <f>IFERROR(INDEX(Tabla1[#Data],MATCH(A13,Tabla1[X],0),6),0)</f>
        <v>3499</v>
      </c>
      <c r="I13">
        <f>IFERROR(INDEX(Tabla1[#Data],MATCH(A13,Tabla1[X],0),7),0)</f>
        <v>1193</v>
      </c>
      <c r="N13" s="3" t="s">
        <v>45</v>
      </c>
    </row>
    <row r="14" spans="1:14" x14ac:dyDescent="0.35">
      <c r="A14" s="3" t="s">
        <v>45</v>
      </c>
      <c r="B14" s="3" t="s">
        <v>45</v>
      </c>
      <c r="C14">
        <f>IFERROR(ROUNDUP(INDEX(Tabla1[#Data],MATCH(A14,Tabla1[X],0),9),2),0)</f>
        <v>22.220000000000002</v>
      </c>
      <c r="D14">
        <f>IFERROR(INDEX(Tabla1[#Data],MATCH(A14,Tabla1[X],0),2),0)</f>
        <v>7404</v>
      </c>
      <c r="E14">
        <f>IFERROR(INDEX(Tabla1[#Data],MATCH(A14,Tabla1[X],0),3),0)</f>
        <v>7262</v>
      </c>
      <c r="F14">
        <f>IFERROR(INDEX(Tabla1[#Data],MATCH(A14,Tabla1[X],0),4),0)</f>
        <v>5955</v>
      </c>
      <c r="G14">
        <f>IFERROR(INDEX(Tabla1[#Data],MATCH(A14,Tabla1[X],0),5),0)</f>
        <v>1475</v>
      </c>
      <c r="H14">
        <f>IFERROR(INDEX(Tabla1[#Data],MATCH(A14,Tabla1[X],0),6),0)</f>
        <v>7407</v>
      </c>
      <c r="I14">
        <f>IFERROR(INDEX(Tabla1[#Data],MATCH(A14,Tabla1[X],0),7),0)</f>
        <v>3298</v>
      </c>
      <c r="N14" s="3" t="s">
        <v>48</v>
      </c>
    </row>
    <row r="15" spans="1:14" x14ac:dyDescent="0.35">
      <c r="A15" s="3" t="s">
        <v>48</v>
      </c>
      <c r="B15" s="3" t="s">
        <v>48</v>
      </c>
      <c r="C15">
        <f>IFERROR(ROUNDUP(INDEX(Tabla1[#Data],MATCH(A15,Tabla1[X],0),9),2),0)</f>
        <v>9.0499999999999989</v>
      </c>
      <c r="D15">
        <f>IFERROR(INDEX(Tabla1[#Data],MATCH(A15,Tabla1[X],0),2),0)</f>
        <v>3014</v>
      </c>
      <c r="E15">
        <f>IFERROR(INDEX(Tabla1[#Data],MATCH(A15,Tabla1[X],0),3),0)</f>
        <v>2982</v>
      </c>
      <c r="F15">
        <f>IFERROR(INDEX(Tabla1[#Data],MATCH(A15,Tabla1[X],0),4),0)</f>
        <v>2177</v>
      </c>
      <c r="G15">
        <f>IFERROR(INDEX(Tabla1[#Data],MATCH(A15,Tabla1[X],0),5),0)</f>
        <v>492</v>
      </c>
      <c r="H15">
        <f>IFERROR(INDEX(Tabla1[#Data],MATCH(A15,Tabla1[X],0),6),0)</f>
        <v>3015</v>
      </c>
      <c r="I15">
        <f>IFERROR(INDEX(Tabla1[#Data],MATCH(A15,Tabla1[X],0),7),0)</f>
        <v>1282</v>
      </c>
      <c r="N15" s="3" t="s">
        <v>49</v>
      </c>
    </row>
    <row r="16" spans="1:14" x14ac:dyDescent="0.35">
      <c r="A16" s="3" t="s">
        <v>49</v>
      </c>
      <c r="B16" s="3" t="s">
        <v>49</v>
      </c>
      <c r="C16">
        <f>IFERROR(ROUNDUP(INDEX(Tabla1[#Data],MATCH(A16,Tabla1[X],0),9),2),0)</f>
        <v>2.73</v>
      </c>
      <c r="D16">
        <f>IFERROR(INDEX(Tabla1[#Data],MATCH(A16,Tabla1[X],0),2),0)</f>
        <v>908</v>
      </c>
      <c r="E16">
        <f>IFERROR(INDEX(Tabla1[#Data],MATCH(A16,Tabla1[X],0),3),0)</f>
        <v>887</v>
      </c>
      <c r="F16">
        <f>IFERROR(INDEX(Tabla1[#Data],MATCH(A16,Tabla1[X],0),4),0)</f>
        <v>669</v>
      </c>
      <c r="G16">
        <f>IFERROR(INDEX(Tabla1[#Data],MATCH(A16,Tabla1[X],0),5),0)</f>
        <v>148</v>
      </c>
      <c r="H16">
        <f>IFERROR(INDEX(Tabla1[#Data],MATCH(A16,Tabla1[X],0),6),0)</f>
        <v>908</v>
      </c>
      <c r="I16">
        <f>IFERROR(INDEX(Tabla1[#Data],MATCH(A16,Tabla1[X],0),7),0)</f>
        <v>297</v>
      </c>
      <c r="N16" s="3" t="s">
        <v>50</v>
      </c>
    </row>
    <row r="17" spans="1:14" x14ac:dyDescent="0.35">
      <c r="A17" s="3" t="s">
        <v>50</v>
      </c>
      <c r="B17" s="3" t="s">
        <v>50</v>
      </c>
      <c r="C17">
        <f>IFERROR(ROUNDUP(INDEX(Tabla1[#Data],MATCH(A17,Tabla1[X],0),9),2),0)</f>
        <v>19.330000000000002</v>
      </c>
      <c r="D17">
        <f>IFERROR(INDEX(Tabla1[#Data],MATCH(A17,Tabla1[X],0),2),0)</f>
        <v>6443</v>
      </c>
      <c r="E17">
        <f>IFERROR(INDEX(Tabla1[#Data],MATCH(A17,Tabla1[X],0),3),0)</f>
        <v>6331</v>
      </c>
      <c r="F17">
        <f>IFERROR(INDEX(Tabla1[#Data],MATCH(A17,Tabla1[X],0),4),0)</f>
        <v>5118</v>
      </c>
      <c r="G17">
        <f>IFERROR(INDEX(Tabla1[#Data],MATCH(A17,Tabla1[X],0),5),0)</f>
        <v>1410</v>
      </c>
      <c r="H17">
        <f>IFERROR(INDEX(Tabla1[#Data],MATCH(A17,Tabla1[X],0),6),0)</f>
        <v>6446</v>
      </c>
      <c r="I17">
        <f>IFERROR(INDEX(Tabla1[#Data],MATCH(A17,Tabla1[X],0),7),0)</f>
        <v>3080</v>
      </c>
      <c r="N17" s="3" t="s">
        <v>51</v>
      </c>
    </row>
    <row r="18" spans="1:14" x14ac:dyDescent="0.35">
      <c r="A18" s="3" t="s">
        <v>51</v>
      </c>
      <c r="B18" s="3" t="s">
        <v>51</v>
      </c>
      <c r="C18">
        <f>IFERROR(ROUNDUP(INDEX(Tabla1[#Data],MATCH(A18,Tabla1[X],0),9),2),0)</f>
        <v>1.5</v>
      </c>
      <c r="D18">
        <f>IFERROR(INDEX(Tabla1[#Data],MATCH(A18,Tabla1[X],0),2),0)</f>
        <v>171</v>
      </c>
      <c r="E18">
        <f>IFERROR(INDEX(Tabla1[#Data],MATCH(A18,Tabla1[X],0),3),0)</f>
        <v>170</v>
      </c>
      <c r="F18">
        <f>IFERROR(INDEX(Tabla1[#Data],MATCH(A18,Tabla1[X],0),4),0)</f>
        <v>106</v>
      </c>
      <c r="G18">
        <f>IFERROR(INDEX(Tabla1[#Data],MATCH(A18,Tabla1[X],0),5),0)</f>
        <v>11</v>
      </c>
      <c r="H18">
        <f>IFERROR(INDEX(Tabla1[#Data],MATCH(A18,Tabla1[X],0),6),0)</f>
        <v>171</v>
      </c>
      <c r="I18">
        <f>IFERROR(INDEX(Tabla1[#Data],MATCH(A18,Tabla1[X],0),7),0)</f>
        <v>31</v>
      </c>
      <c r="N18" s="3" t="s">
        <v>52</v>
      </c>
    </row>
    <row r="19" spans="1:14" x14ac:dyDescent="0.35">
      <c r="A19" s="3" t="s">
        <v>52</v>
      </c>
      <c r="B19" s="3" t="s">
        <v>52</v>
      </c>
      <c r="C19">
        <f>IFERROR(ROUNDUP(INDEX(Tabla1[#Data],MATCH(A19,Tabla1[X],0),9),2),0)</f>
        <v>10.84</v>
      </c>
      <c r="D19">
        <f>IFERROR(INDEX(Tabla1[#Data],MATCH(A19,Tabla1[X],0),2),0)</f>
        <v>3612</v>
      </c>
      <c r="E19">
        <f>IFERROR(INDEX(Tabla1[#Data],MATCH(A19,Tabla1[X],0),3),0)</f>
        <v>3527</v>
      </c>
      <c r="F19">
        <f>IFERROR(INDEX(Tabla1[#Data],MATCH(A19,Tabla1[X],0),4),0)</f>
        <v>2588</v>
      </c>
      <c r="G19">
        <f>IFERROR(INDEX(Tabla1[#Data],MATCH(A19,Tabla1[X],0),5),0)</f>
        <v>581</v>
      </c>
      <c r="H19">
        <f>IFERROR(INDEX(Tabla1[#Data],MATCH(A19,Tabla1[X],0),6),0)</f>
        <v>3615</v>
      </c>
      <c r="I19">
        <f>IFERROR(INDEX(Tabla1[#Data],MATCH(A19,Tabla1[X],0),7),0)</f>
        <v>1343</v>
      </c>
      <c r="N19" s="3" t="s">
        <v>53</v>
      </c>
    </row>
    <row r="20" spans="1:14" x14ac:dyDescent="0.35">
      <c r="A20" s="3" t="s">
        <v>53</v>
      </c>
      <c r="B20" s="3" t="s">
        <v>53</v>
      </c>
      <c r="C20">
        <f>IFERROR(ROUNDUP(INDEX(Tabla1[#Data],MATCH(A20,Tabla1[X],0),9),2),0)</f>
        <v>6.09</v>
      </c>
      <c r="D20">
        <f>IFERROR(INDEX(Tabla1[#Data],MATCH(A20,Tabla1[X],0),2),0)</f>
        <v>2027</v>
      </c>
      <c r="E20">
        <f>IFERROR(INDEX(Tabla1[#Data],MATCH(A20,Tabla1[X],0),3),0)</f>
        <v>2012</v>
      </c>
      <c r="F20">
        <f>IFERROR(INDEX(Tabla1[#Data],MATCH(A20,Tabla1[X],0),4),0)</f>
        <v>1548</v>
      </c>
      <c r="G20">
        <f>IFERROR(INDEX(Tabla1[#Data],MATCH(A20,Tabla1[X],0),5),0)</f>
        <v>372</v>
      </c>
      <c r="H20">
        <f>IFERROR(INDEX(Tabla1[#Data],MATCH(A20,Tabla1[X],0),6),0)</f>
        <v>2027</v>
      </c>
      <c r="I20">
        <f>IFERROR(INDEX(Tabla1[#Data],MATCH(A20,Tabla1[X],0),7),0)</f>
        <v>786</v>
      </c>
      <c r="N20" s="3" t="s">
        <v>54</v>
      </c>
    </row>
    <row r="21" spans="1:14" x14ac:dyDescent="0.35">
      <c r="A21" s="3" t="s">
        <v>54</v>
      </c>
      <c r="B21" s="3" t="s">
        <v>86</v>
      </c>
      <c r="C21">
        <f>IFERROR(ROUNDUP(INDEX(Tabla1[#Data],MATCH(A21,Tabla1[X],0),9),2),0)</f>
        <v>15.68</v>
      </c>
      <c r="D21">
        <f>IFERROR(INDEX(Tabla1[#Data],MATCH(A21,Tabla1[X],0),2),0)</f>
        <v>5225</v>
      </c>
      <c r="E21">
        <f>IFERROR(INDEX(Tabla1[#Data],MATCH(A21,Tabla1[X],0),3),0)</f>
        <v>5165</v>
      </c>
      <c r="F21">
        <f>IFERROR(INDEX(Tabla1[#Data],MATCH(A21,Tabla1[X],0),4),0)</f>
        <v>4146</v>
      </c>
      <c r="G21">
        <f>IFERROR(INDEX(Tabla1[#Data],MATCH(A21,Tabla1[X],0),5),0)</f>
        <v>783</v>
      </c>
      <c r="H21">
        <f>IFERROR(INDEX(Tabla1[#Data],MATCH(A21,Tabla1[X],0),6),0)</f>
        <v>5230</v>
      </c>
      <c r="I21">
        <f>IFERROR(INDEX(Tabla1[#Data],MATCH(A21,Tabla1[X],0),7),0)</f>
        <v>2062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A28" sqref="A28"/>
    </sheetView>
  </sheetViews>
  <sheetFormatPr baseColWidth="10" defaultRowHeight="14.5" x14ac:dyDescent="0.35"/>
  <cols>
    <col min="1" max="1" width="16.453125" customWidth="1"/>
  </cols>
  <sheetData>
    <row r="1" spans="1:9" x14ac:dyDescent="0.35">
      <c r="A1" t="s">
        <v>80</v>
      </c>
      <c r="B1" t="s">
        <v>82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5">
      <c r="A2" s="1" t="s">
        <v>2</v>
      </c>
      <c r="B2" s="1" t="s">
        <v>87</v>
      </c>
      <c r="C2">
        <f>IFERROR(ROUNDUP(INDEX(Tabla1[#Data],MATCH(A2,Tabla1[X],0),9),2),0)</f>
        <v>5.96</v>
      </c>
      <c r="D2">
        <f>IFERROR(INDEX(Tabla1[#Data],MATCH(A2,Tabla1[X],0),2),0)</f>
        <v>1984</v>
      </c>
      <c r="E2">
        <f>IFERROR(INDEX(Tabla1[#Data],MATCH(A2,Tabla1[X],0),3),0)</f>
        <v>1929</v>
      </c>
      <c r="F2">
        <f>IFERROR(INDEX(Tabla1[#Data],MATCH(A2,Tabla1[X],0),4),0)</f>
        <v>1262</v>
      </c>
      <c r="G2">
        <f>IFERROR(INDEX(Tabla1[#Data],MATCH(A2,Tabla1[X],0),5),0)</f>
        <v>288</v>
      </c>
      <c r="H2">
        <f>IFERROR(INDEX(Tabla1[#Data],MATCH(A2,Tabla1[X],0),6),0)</f>
        <v>1984</v>
      </c>
      <c r="I2">
        <f>IFERROR(INDEX(Tabla1[#Data],MATCH(A2,Tabla1[X],0),7),0)</f>
        <v>636</v>
      </c>
    </row>
    <row r="3" spans="1:9" x14ac:dyDescent="0.35">
      <c r="A3" s="1" t="s">
        <v>3</v>
      </c>
      <c r="B3" s="1" t="s">
        <v>88</v>
      </c>
      <c r="C3">
        <f>IFERROR(ROUNDUP(INDEX(Tabla1[#Data],MATCH(A3,Tabla1[X],0),9),2),0)</f>
        <v>10.029999999999999</v>
      </c>
      <c r="D3">
        <f>IFERROR(INDEX(Tabla1[#Data],MATCH(A3,Tabla1[X],0),2),0)</f>
        <v>3341</v>
      </c>
      <c r="E3">
        <f>IFERROR(INDEX(Tabla1[#Data],MATCH(A3,Tabla1[X],0),3),0)</f>
        <v>3283</v>
      </c>
      <c r="F3">
        <f>IFERROR(INDEX(Tabla1[#Data],MATCH(A3,Tabla1[X],0),4),0)</f>
        <v>2360</v>
      </c>
      <c r="G3">
        <f>IFERROR(INDEX(Tabla1[#Data],MATCH(A3,Tabla1[X],0),5),0)</f>
        <v>570</v>
      </c>
      <c r="H3">
        <f>IFERROR(INDEX(Tabla1[#Data],MATCH(A3,Tabla1[X],0),6),0)</f>
        <v>3343</v>
      </c>
      <c r="I3">
        <f>IFERROR(INDEX(Tabla1[#Data],MATCH(A3,Tabla1[X],0),7),0)</f>
        <v>1161</v>
      </c>
    </row>
    <row r="4" spans="1:9" x14ac:dyDescent="0.35">
      <c r="A4" s="1" t="s">
        <v>4</v>
      </c>
      <c r="B4" s="1" t="s">
        <v>89</v>
      </c>
      <c r="C4">
        <f>IFERROR(ROUNDUP(INDEX(Tabla1[#Data],MATCH(A4,Tabla1[X],0),9),2),0)</f>
        <v>6.31</v>
      </c>
      <c r="D4">
        <f>IFERROR(INDEX(Tabla1[#Data],MATCH(A4,Tabla1[X],0),2),0)</f>
        <v>2103</v>
      </c>
      <c r="E4">
        <f>IFERROR(INDEX(Tabla1[#Data],MATCH(A4,Tabla1[X],0),3),0)</f>
        <v>2081</v>
      </c>
      <c r="F4">
        <f>IFERROR(INDEX(Tabla1[#Data],MATCH(A4,Tabla1[X],0),4),0)</f>
        <v>1556</v>
      </c>
      <c r="G4">
        <f>IFERROR(INDEX(Tabla1[#Data],MATCH(A4,Tabla1[X],0),5),0)</f>
        <v>390</v>
      </c>
      <c r="H4">
        <f>IFERROR(INDEX(Tabla1[#Data],MATCH(A4,Tabla1[X],0),6),0)</f>
        <v>2104</v>
      </c>
      <c r="I4">
        <f>IFERROR(INDEX(Tabla1[#Data],MATCH(A4,Tabla1[X],0),7),0)</f>
        <v>765</v>
      </c>
    </row>
    <row r="5" spans="1:9" x14ac:dyDescent="0.35">
      <c r="A5" s="1" t="s">
        <v>5</v>
      </c>
      <c r="B5" s="1" t="s">
        <v>5</v>
      </c>
      <c r="C5">
        <f>IFERROR(ROUNDUP(INDEX(Tabla1[#Data],MATCH(A5,Tabla1[X],0),9),2),0)</f>
        <v>8.01</v>
      </c>
      <c r="D5">
        <f>IFERROR(INDEX(Tabla1[#Data],MATCH(A5,Tabla1[X],0),2),0)</f>
        <v>2668</v>
      </c>
      <c r="E5">
        <f>IFERROR(INDEX(Tabla1[#Data],MATCH(A5,Tabla1[X],0),3),0)</f>
        <v>2625</v>
      </c>
      <c r="F5">
        <f>IFERROR(INDEX(Tabla1[#Data],MATCH(A5,Tabla1[X],0),4),0)</f>
        <v>1936</v>
      </c>
      <c r="G5">
        <f>IFERROR(INDEX(Tabla1[#Data],MATCH(A5,Tabla1[X],0),5),0)</f>
        <v>566</v>
      </c>
      <c r="H5">
        <f>IFERROR(INDEX(Tabla1[#Data],MATCH(A5,Tabla1[X],0),6),0)</f>
        <v>2670</v>
      </c>
      <c r="I5">
        <f>IFERROR(INDEX(Tabla1[#Data],MATCH(A5,Tabla1[X],0),7),0)</f>
        <v>1057</v>
      </c>
    </row>
    <row r="6" spans="1:9" x14ac:dyDescent="0.35">
      <c r="A6" s="1" t="s">
        <v>6</v>
      </c>
      <c r="B6" s="1" t="s">
        <v>6</v>
      </c>
      <c r="C6">
        <f>IFERROR(ROUNDUP(INDEX(Tabla1[#Data],MATCH(A6,Tabla1[X],0),9),2),0)</f>
        <v>5.31</v>
      </c>
      <c r="D6">
        <f>IFERROR(INDEX(Tabla1[#Data],MATCH(A6,Tabla1[X],0),2),0)</f>
        <v>1767</v>
      </c>
      <c r="E6">
        <f>IFERROR(INDEX(Tabla1[#Data],MATCH(A6,Tabla1[X],0),3),0)</f>
        <v>1731</v>
      </c>
      <c r="F6">
        <f>IFERROR(INDEX(Tabla1[#Data],MATCH(A6,Tabla1[X],0),4),0)</f>
        <v>1242</v>
      </c>
      <c r="G6">
        <f>IFERROR(INDEX(Tabla1[#Data],MATCH(A6,Tabla1[X],0),5),0)</f>
        <v>378</v>
      </c>
      <c r="H6">
        <f>IFERROR(INDEX(Tabla1[#Data],MATCH(A6,Tabla1[X],0),6),0)</f>
        <v>1767</v>
      </c>
      <c r="I6">
        <f>IFERROR(INDEX(Tabla1[#Data],MATCH(A6,Tabla1[X],0),7),0)</f>
        <v>702</v>
      </c>
    </row>
    <row r="7" spans="1:9" x14ac:dyDescent="0.35">
      <c r="A7" s="1" t="s">
        <v>7</v>
      </c>
      <c r="B7" s="1" t="s">
        <v>90</v>
      </c>
      <c r="C7">
        <f>IFERROR(ROUNDUP(INDEX(Tabla1[#Data],MATCH(A7,Tabla1[X],0),9),2),0)</f>
        <v>5.62</v>
      </c>
      <c r="D7">
        <f>IFERROR(INDEX(Tabla1[#Data],MATCH(A7,Tabla1[X],0),2),0)</f>
        <v>1873</v>
      </c>
      <c r="E7">
        <f>IFERROR(INDEX(Tabla1[#Data],MATCH(A7,Tabla1[X],0),3),0)</f>
        <v>1836</v>
      </c>
      <c r="F7">
        <f>IFERROR(INDEX(Tabla1[#Data],MATCH(A7,Tabla1[X],0),4),0)</f>
        <v>1276</v>
      </c>
      <c r="G7">
        <f>IFERROR(INDEX(Tabla1[#Data],MATCH(A7,Tabla1[X],0),5),0)</f>
        <v>309</v>
      </c>
      <c r="H7">
        <f>IFERROR(INDEX(Tabla1[#Data],MATCH(A7,Tabla1[X],0),6),0)</f>
        <v>1874</v>
      </c>
      <c r="I7">
        <f>IFERROR(INDEX(Tabla1[#Data],MATCH(A7,Tabla1[X],0),7),0)</f>
        <v>623</v>
      </c>
    </row>
    <row r="8" spans="1:9" x14ac:dyDescent="0.35">
      <c r="A8" s="1" t="s">
        <v>8</v>
      </c>
      <c r="B8" s="1" t="s">
        <v>91</v>
      </c>
      <c r="C8">
        <f>IFERROR(ROUNDUP(INDEX(Tabla1[#Data],MATCH(A8,Tabla1[X],0),9),2),0)</f>
        <v>7.34</v>
      </c>
      <c r="D8">
        <f>IFERROR(INDEX(Tabla1[#Data],MATCH(A8,Tabla1[X],0),2),0)</f>
        <v>2446</v>
      </c>
      <c r="E8">
        <f>IFERROR(INDEX(Tabla1[#Data],MATCH(A8,Tabla1[X],0),3),0)</f>
        <v>2426</v>
      </c>
      <c r="F8">
        <f>IFERROR(INDEX(Tabla1[#Data],MATCH(A8,Tabla1[X],0),4),0)</f>
        <v>1975</v>
      </c>
      <c r="G8">
        <f>IFERROR(INDEX(Tabla1[#Data],MATCH(A8,Tabla1[X],0),5),0)</f>
        <v>533</v>
      </c>
      <c r="H8">
        <f>IFERROR(INDEX(Tabla1[#Data],MATCH(A8,Tabla1[X],0),6),0)</f>
        <v>2447</v>
      </c>
      <c r="I8">
        <f>IFERROR(INDEX(Tabla1[#Data],MATCH(A8,Tabla1[X],0),7),0)</f>
        <v>1200</v>
      </c>
    </row>
    <row r="9" spans="1:9" x14ac:dyDescent="0.35">
      <c r="A9" s="1" t="s">
        <v>9</v>
      </c>
      <c r="B9" s="1" t="s">
        <v>9</v>
      </c>
      <c r="C9">
        <f>IFERROR(ROUNDUP(INDEX(Tabla1[#Data],MATCH(A9,Tabla1[X],0),9),2),0)</f>
        <v>8.34</v>
      </c>
      <c r="D9">
        <f>IFERROR(INDEX(Tabla1[#Data],MATCH(A9,Tabla1[X],0),2),0)</f>
        <v>2779</v>
      </c>
      <c r="E9">
        <f>IFERROR(INDEX(Tabla1[#Data],MATCH(A9,Tabla1[X],0),3),0)</f>
        <v>2746</v>
      </c>
      <c r="F9">
        <f>IFERROR(INDEX(Tabla1[#Data],MATCH(A9,Tabla1[X],0),4),0)</f>
        <v>2081</v>
      </c>
      <c r="G9">
        <f>IFERROR(INDEX(Tabla1[#Data],MATCH(A9,Tabla1[X],0),5),0)</f>
        <v>564</v>
      </c>
      <c r="H9">
        <f>IFERROR(INDEX(Tabla1[#Data],MATCH(A9,Tabla1[X],0),6),0)</f>
        <v>2779</v>
      </c>
      <c r="I9">
        <f>IFERROR(INDEX(Tabla1[#Data],MATCH(A9,Tabla1[X],0),7),0)</f>
        <v>1123</v>
      </c>
    </row>
    <row r="10" spans="1:9" x14ac:dyDescent="0.35">
      <c r="A10" s="1" t="s">
        <v>11</v>
      </c>
      <c r="B10" s="1" t="s">
        <v>11</v>
      </c>
      <c r="C10">
        <f>IFERROR(ROUNDUP(INDEX(Tabla1[#Data],MATCH(A10,Tabla1[X],0),9),2),0)</f>
        <v>2.57</v>
      </c>
      <c r="D10">
        <f>IFERROR(INDEX(Tabla1[#Data],MATCH(A10,Tabla1[X],0),2),0)</f>
        <v>856</v>
      </c>
      <c r="E10">
        <f>IFERROR(INDEX(Tabla1[#Data],MATCH(A10,Tabla1[X],0),3),0)</f>
        <v>836</v>
      </c>
      <c r="F10">
        <f>IFERROR(INDEX(Tabla1[#Data],MATCH(A10,Tabla1[X],0),4),0)</f>
        <v>633</v>
      </c>
      <c r="G10">
        <f>IFERROR(INDEX(Tabla1[#Data],MATCH(A10,Tabla1[X],0),5),0)</f>
        <v>189</v>
      </c>
      <c r="H10">
        <f>IFERROR(INDEX(Tabla1[#Data],MATCH(A10,Tabla1[X],0),6),0)</f>
        <v>857</v>
      </c>
      <c r="I10">
        <f>IFERROR(INDEX(Tabla1[#Data],MATCH(A10,Tabla1[X],0),7),0)</f>
        <v>351</v>
      </c>
    </row>
    <row r="11" spans="1:9" x14ac:dyDescent="0.35">
      <c r="A11" s="1" t="s">
        <v>12</v>
      </c>
      <c r="B11" s="1" t="s">
        <v>12</v>
      </c>
      <c r="C11">
        <f>IFERROR(ROUNDUP(INDEX(Tabla1[#Data],MATCH(A11,Tabla1[X],0),9),2),0)</f>
        <v>2.09</v>
      </c>
      <c r="D11">
        <f>IFERROR(INDEX(Tabla1[#Data],MATCH(A11,Tabla1[X],0),2),0)</f>
        <v>694</v>
      </c>
      <c r="E11">
        <f>IFERROR(INDEX(Tabla1[#Data],MATCH(A11,Tabla1[X],0),3),0)</f>
        <v>682</v>
      </c>
      <c r="F11">
        <f>IFERROR(INDEX(Tabla1[#Data],MATCH(A11,Tabla1[X],0),4),0)</f>
        <v>521</v>
      </c>
      <c r="G11">
        <f>IFERROR(INDEX(Tabla1[#Data],MATCH(A11,Tabla1[X],0),5),0)</f>
        <v>142</v>
      </c>
      <c r="H11">
        <f>IFERROR(INDEX(Tabla1[#Data],MATCH(A11,Tabla1[X],0),6),0)</f>
        <v>694</v>
      </c>
      <c r="I11">
        <f>IFERROR(INDEX(Tabla1[#Data],MATCH(A11,Tabla1[X],0),7),0)</f>
        <v>255</v>
      </c>
    </row>
    <row r="12" spans="1:9" x14ac:dyDescent="0.35">
      <c r="A12" s="1" t="s">
        <v>13</v>
      </c>
      <c r="B12" s="1" t="s">
        <v>13</v>
      </c>
      <c r="C12">
        <f>IFERROR(ROUNDUP(INDEX(Tabla1[#Data],MATCH(A12,Tabla1[X],0),9),2),0)</f>
        <v>6.36</v>
      </c>
      <c r="D12">
        <f>IFERROR(INDEX(Tabla1[#Data],MATCH(A12,Tabla1[X],0),2),0)</f>
        <v>2120</v>
      </c>
      <c r="E12">
        <f>IFERROR(INDEX(Tabla1[#Data],MATCH(A12,Tabla1[X],0),3),0)</f>
        <v>2098</v>
      </c>
      <c r="F12">
        <f>IFERROR(INDEX(Tabla1[#Data],MATCH(A12,Tabla1[X],0),4),0)</f>
        <v>1660</v>
      </c>
      <c r="G12">
        <f>IFERROR(INDEX(Tabla1[#Data],MATCH(A12,Tabla1[X],0),5),0)</f>
        <v>452</v>
      </c>
      <c r="H12">
        <f>IFERROR(INDEX(Tabla1[#Data],MATCH(A12,Tabla1[X],0),6),0)</f>
        <v>2121</v>
      </c>
      <c r="I12">
        <f>IFERROR(INDEX(Tabla1[#Data],MATCH(A12,Tabla1[X],0),7),0)</f>
        <v>915</v>
      </c>
    </row>
    <row r="13" spans="1:9" x14ac:dyDescent="0.35">
      <c r="A13" s="1" t="s">
        <v>14</v>
      </c>
      <c r="B13" s="1" t="s">
        <v>14</v>
      </c>
      <c r="C13">
        <f>IFERROR(ROUNDUP(INDEX(Tabla1[#Data],MATCH(A13,Tabla1[X],0),9),2),0)</f>
        <v>7.7799999999999994</v>
      </c>
      <c r="D13">
        <f>IFERROR(INDEX(Tabla1[#Data],MATCH(A13,Tabla1[X],0),2),0)</f>
        <v>2591</v>
      </c>
      <c r="E13">
        <f>IFERROR(INDEX(Tabla1[#Data],MATCH(A13,Tabla1[X],0),3),0)</f>
        <v>2551</v>
      </c>
      <c r="F13">
        <f>IFERROR(INDEX(Tabla1[#Data],MATCH(A13,Tabla1[X],0),4),0)</f>
        <v>2059</v>
      </c>
      <c r="G13">
        <f>IFERROR(INDEX(Tabla1[#Data],MATCH(A13,Tabla1[X],0),5),0)</f>
        <v>560</v>
      </c>
      <c r="H13">
        <f>IFERROR(INDEX(Tabla1[#Data],MATCH(A13,Tabla1[X],0),6),0)</f>
        <v>2593</v>
      </c>
      <c r="I13">
        <f>IFERROR(INDEX(Tabla1[#Data],MATCH(A13,Tabla1[X],0),7),0)</f>
        <v>1194</v>
      </c>
    </row>
    <row r="14" spans="1:9" x14ac:dyDescent="0.35">
      <c r="A14" s="1" t="s">
        <v>16</v>
      </c>
      <c r="B14" s="1" t="s">
        <v>16</v>
      </c>
      <c r="C14">
        <f>IFERROR(ROUNDUP(INDEX(Tabla1[#Data],MATCH(A14,Tabla1[X],0),9),2),0)</f>
        <v>6.2299999999999995</v>
      </c>
      <c r="D14">
        <f>IFERROR(INDEX(Tabla1[#Data],MATCH(A14,Tabla1[X],0),2),0)</f>
        <v>2074</v>
      </c>
      <c r="E14">
        <f>IFERROR(INDEX(Tabla1[#Data],MATCH(A14,Tabla1[X],0),3),0)</f>
        <v>2048</v>
      </c>
      <c r="F14">
        <f>IFERROR(INDEX(Tabla1[#Data],MATCH(A14,Tabla1[X],0),4),0)</f>
        <v>1573</v>
      </c>
      <c r="G14">
        <f>IFERROR(INDEX(Tabla1[#Data],MATCH(A14,Tabla1[X],0),5),0)</f>
        <v>311</v>
      </c>
      <c r="H14">
        <f>IFERROR(INDEX(Tabla1[#Data],MATCH(A14,Tabla1[X],0),6),0)</f>
        <v>2075</v>
      </c>
      <c r="I14">
        <f>IFERROR(INDEX(Tabla1[#Data],MATCH(A14,Tabla1[X],0),7),0)</f>
        <v>991</v>
      </c>
    </row>
    <row r="15" spans="1:9" x14ac:dyDescent="0.35">
      <c r="A15" s="1" t="s">
        <v>17</v>
      </c>
      <c r="B15" s="1" t="s">
        <v>17</v>
      </c>
      <c r="C15">
        <f>IFERROR(ROUNDUP(INDEX(Tabla1[#Data],MATCH(A15,Tabla1[X],0),9),2),0)</f>
        <v>6.43</v>
      </c>
      <c r="D15">
        <f>IFERROR(INDEX(Tabla1[#Data],MATCH(A15,Tabla1[X],0),2),0)</f>
        <v>2141</v>
      </c>
      <c r="E15">
        <f>IFERROR(INDEX(Tabla1[#Data],MATCH(A15,Tabla1[X],0),3),0)</f>
        <v>2087</v>
      </c>
      <c r="F15">
        <f>IFERROR(INDEX(Tabla1[#Data],MATCH(A15,Tabla1[X],0),4),0)</f>
        <v>1687</v>
      </c>
      <c r="G15">
        <f>IFERROR(INDEX(Tabla1[#Data],MATCH(A15,Tabla1[X],0),5),0)</f>
        <v>417</v>
      </c>
      <c r="H15">
        <f>IFERROR(INDEX(Tabla1[#Data],MATCH(A15,Tabla1[X],0),6),0)</f>
        <v>2142</v>
      </c>
      <c r="I15">
        <f>IFERROR(INDEX(Tabla1[#Data],MATCH(A15,Tabla1[X],0),7),0)</f>
        <v>950</v>
      </c>
    </row>
    <row r="16" spans="1:9" x14ac:dyDescent="0.35">
      <c r="A16" s="1" t="s">
        <v>18</v>
      </c>
      <c r="B16" s="1" t="s">
        <v>18</v>
      </c>
      <c r="C16">
        <f>IFERROR(ROUNDUP(INDEX(Tabla1[#Data],MATCH(A16,Tabla1[X],0),9),2),0)</f>
        <v>5.2799999999999994</v>
      </c>
      <c r="D16">
        <f>IFERROR(INDEX(Tabla1[#Data],MATCH(A16,Tabla1[X],0),2),0)</f>
        <v>1758</v>
      </c>
      <c r="E16">
        <f>IFERROR(INDEX(Tabla1[#Data],MATCH(A16,Tabla1[X],0),3),0)</f>
        <v>1724</v>
      </c>
      <c r="F16">
        <f>IFERROR(INDEX(Tabla1[#Data],MATCH(A16,Tabla1[X],0),4),0)</f>
        <v>1330</v>
      </c>
      <c r="G16">
        <f>IFERROR(INDEX(Tabla1[#Data],MATCH(A16,Tabla1[X],0),5),0)</f>
        <v>281</v>
      </c>
      <c r="H16">
        <f>IFERROR(INDEX(Tabla1[#Data],MATCH(A16,Tabla1[X],0),6),0)</f>
        <v>1760</v>
      </c>
      <c r="I16">
        <f>IFERROR(INDEX(Tabla1[#Data],MATCH(A16,Tabla1[X],0),7),0)</f>
        <v>672</v>
      </c>
    </row>
    <row r="17" spans="1:9" x14ac:dyDescent="0.35">
      <c r="A17" s="1" t="s">
        <v>20</v>
      </c>
      <c r="B17" s="1" t="s">
        <v>20</v>
      </c>
      <c r="C17">
        <f>IFERROR(ROUNDUP(INDEX(Tabla1[#Data],MATCH(A17,Tabla1[X],0),9),2),0)</f>
        <v>3.26</v>
      </c>
      <c r="D17">
        <f>IFERROR(INDEX(Tabla1[#Data],MATCH(A17,Tabla1[X],0),2),0)</f>
        <v>1086</v>
      </c>
      <c r="E17">
        <f>IFERROR(INDEX(Tabla1[#Data],MATCH(A17,Tabla1[X],0),3),0)</f>
        <v>1053</v>
      </c>
      <c r="F17">
        <f>IFERROR(INDEX(Tabla1[#Data],MATCH(A17,Tabla1[X],0),4),0)</f>
        <v>745</v>
      </c>
      <c r="G17">
        <f>IFERROR(INDEX(Tabla1[#Data],MATCH(A17,Tabla1[X],0),5),0)</f>
        <v>166</v>
      </c>
      <c r="H17">
        <f>IFERROR(INDEX(Tabla1[#Data],MATCH(A17,Tabla1[X],0),6),0)</f>
        <v>1086</v>
      </c>
      <c r="I17">
        <f>IFERROR(INDEX(Tabla1[#Data],MATCH(A17,Tabla1[X],0),7),0)</f>
        <v>345</v>
      </c>
    </row>
    <row r="18" spans="1:9" x14ac:dyDescent="0.35">
      <c r="A18" s="1" t="s">
        <v>21</v>
      </c>
      <c r="B18" s="1" t="s">
        <v>21</v>
      </c>
      <c r="C18">
        <f>IFERROR(ROUNDUP(INDEX(Tabla1[#Data],MATCH(A18,Tabla1[X],0),9),2),0)</f>
        <v>4.1399999999999997</v>
      </c>
      <c r="D18">
        <f>IFERROR(INDEX(Tabla1[#Data],MATCH(A18,Tabla1[X],0),2),0)</f>
        <v>1377</v>
      </c>
      <c r="E18">
        <f>IFERROR(INDEX(Tabla1[#Data],MATCH(A18,Tabla1[X],0),3),0)</f>
        <v>1348</v>
      </c>
      <c r="F18">
        <f>IFERROR(INDEX(Tabla1[#Data],MATCH(A18,Tabla1[X],0),4),0)</f>
        <v>896</v>
      </c>
      <c r="G18">
        <f>IFERROR(INDEX(Tabla1[#Data],MATCH(A18,Tabla1[X],0),5),0)</f>
        <v>195</v>
      </c>
      <c r="H18">
        <f>IFERROR(INDEX(Tabla1[#Data],MATCH(A18,Tabla1[X],0),6),0)</f>
        <v>1377</v>
      </c>
      <c r="I18">
        <f>IFERROR(INDEX(Tabla1[#Data],MATCH(A18,Tabla1[X],0),7),0)</f>
        <v>397</v>
      </c>
    </row>
    <row r="19" spans="1:9" x14ac:dyDescent="0.35">
      <c r="A19" s="1" t="s">
        <v>22</v>
      </c>
      <c r="B19" s="1" t="s">
        <v>22</v>
      </c>
      <c r="C19">
        <f>IFERROR(ROUNDUP(INDEX(Tabla1[#Data],MATCH(A19,Tabla1[X],0),9),2),0)</f>
        <v>1.5</v>
      </c>
      <c r="D19">
        <f>IFERROR(INDEX(Tabla1[#Data],MATCH(A19,Tabla1[X],0),2),0)</f>
        <v>460</v>
      </c>
      <c r="E19">
        <f>IFERROR(INDEX(Tabla1[#Data],MATCH(A19,Tabla1[X],0),3),0)</f>
        <v>443</v>
      </c>
      <c r="F19">
        <f>IFERROR(INDEX(Tabla1[#Data],MATCH(A19,Tabla1[X],0),4),0)</f>
        <v>330</v>
      </c>
      <c r="G19">
        <f>IFERROR(INDEX(Tabla1[#Data],MATCH(A19,Tabla1[X],0),5),0)</f>
        <v>71</v>
      </c>
      <c r="H19">
        <f>IFERROR(INDEX(Tabla1[#Data],MATCH(A19,Tabla1[X],0),6),0)</f>
        <v>460</v>
      </c>
      <c r="I19">
        <f>IFERROR(INDEX(Tabla1[#Data],MATCH(A19,Tabla1[X],0),7),0)</f>
        <v>166</v>
      </c>
    </row>
    <row r="20" spans="1:9" x14ac:dyDescent="0.35">
      <c r="A20" s="1" t="s">
        <v>23</v>
      </c>
      <c r="B20" s="1" t="s">
        <v>23</v>
      </c>
      <c r="C20">
        <f>IFERROR(ROUNDUP(INDEX(Tabla1[#Data],MATCH(A20,Tabla1[X],0),9),2),0)</f>
        <v>1.5</v>
      </c>
      <c r="D20">
        <f>IFERROR(INDEX(Tabla1[#Data],MATCH(A20,Tabla1[X],0),2),0)</f>
        <v>417</v>
      </c>
      <c r="E20">
        <f>IFERROR(INDEX(Tabla1[#Data],MATCH(A20,Tabla1[X],0),3),0)</f>
        <v>406</v>
      </c>
      <c r="F20">
        <f>IFERROR(INDEX(Tabla1[#Data],MATCH(A20,Tabla1[X],0),4),0)</f>
        <v>303</v>
      </c>
      <c r="G20">
        <f>IFERROR(INDEX(Tabla1[#Data],MATCH(A20,Tabla1[X],0),5),0)</f>
        <v>70</v>
      </c>
      <c r="H20">
        <f>IFERROR(INDEX(Tabla1[#Data],MATCH(A20,Tabla1[X],0),6),0)</f>
        <v>417</v>
      </c>
      <c r="I20">
        <f>IFERROR(INDEX(Tabla1[#Data],MATCH(A20,Tabla1[X],0),7),0)</f>
        <v>145</v>
      </c>
    </row>
    <row r="21" spans="1:9" x14ac:dyDescent="0.35">
      <c r="A21" s="1" t="s">
        <v>24</v>
      </c>
      <c r="B21" s="1" t="s">
        <v>24</v>
      </c>
      <c r="C21">
        <f>IFERROR(ROUNDUP(INDEX(Tabla1[#Data],MATCH(A21,Tabla1[X],0),9),2),0)</f>
        <v>5.91</v>
      </c>
      <c r="D21">
        <f>IFERROR(INDEX(Tabla1[#Data],MATCH(A21,Tabla1[X],0),2),0)</f>
        <v>1968</v>
      </c>
      <c r="E21">
        <f>IFERROR(INDEX(Tabla1[#Data],MATCH(A21,Tabla1[X],0),3),0)</f>
        <v>1924</v>
      </c>
      <c r="F21">
        <f>IFERROR(INDEX(Tabla1[#Data],MATCH(A21,Tabla1[X],0),4),0)</f>
        <v>1318</v>
      </c>
      <c r="G21">
        <f>IFERROR(INDEX(Tabla1[#Data],MATCH(A21,Tabla1[X],0),5),0)</f>
        <v>296</v>
      </c>
      <c r="H21">
        <f>IFERROR(INDEX(Tabla1[#Data],MATCH(A21,Tabla1[X],0),6),0)</f>
        <v>1969</v>
      </c>
      <c r="I21">
        <f>IFERROR(INDEX(Tabla1[#Data],MATCH(A21,Tabla1[X],0),7),0)</f>
        <v>590</v>
      </c>
    </row>
    <row r="22" spans="1:9" x14ac:dyDescent="0.35">
      <c r="A22" s="1" t="s">
        <v>26</v>
      </c>
      <c r="B22" s="1" t="s">
        <v>92</v>
      </c>
      <c r="C22">
        <f>IFERROR(ROUNDUP(INDEX(Tabla1[#Data],MATCH(A22,Tabla1[X],0),9),2),0)</f>
        <v>2.1199999999999997</v>
      </c>
      <c r="D22">
        <f>IFERROR(INDEX(Tabla1[#Data],MATCH(A22,Tabla1[X],0),2),0)</f>
        <v>706</v>
      </c>
      <c r="E22">
        <f>IFERROR(INDEX(Tabla1[#Data],MATCH(A22,Tabla1[X],0),3),0)</f>
        <v>689</v>
      </c>
      <c r="F22">
        <f>IFERROR(INDEX(Tabla1[#Data],MATCH(A22,Tabla1[X],0),4),0)</f>
        <v>493</v>
      </c>
      <c r="G22">
        <f>IFERROR(INDEX(Tabla1[#Data],MATCH(A22,Tabla1[X],0),5),0)</f>
        <v>92</v>
      </c>
      <c r="H22">
        <f>IFERROR(INDEX(Tabla1[#Data],MATCH(A22,Tabla1[X],0),6),0)</f>
        <v>706</v>
      </c>
      <c r="I22">
        <f>IFERROR(INDEX(Tabla1[#Data],MATCH(A22,Tabla1[X],0),7),0)</f>
        <v>205</v>
      </c>
    </row>
    <row r="23" spans="1:9" x14ac:dyDescent="0.35">
      <c r="A23" s="1" t="s">
        <v>27</v>
      </c>
      <c r="B23" s="1" t="s">
        <v>27</v>
      </c>
      <c r="C23">
        <f>IFERROR(ROUNDUP(INDEX(Tabla1[#Data],MATCH(A23,Tabla1[X],0),9),2),0)</f>
        <v>3.65</v>
      </c>
      <c r="D23">
        <f>IFERROR(INDEX(Tabla1[#Data],MATCH(A23,Tabla1[X],0),2),0)</f>
        <v>1214</v>
      </c>
      <c r="E23">
        <f>IFERROR(INDEX(Tabla1[#Data],MATCH(A23,Tabla1[X],0),3),0)</f>
        <v>1197</v>
      </c>
      <c r="F23">
        <f>IFERROR(INDEX(Tabla1[#Data],MATCH(A23,Tabla1[X],0),4),0)</f>
        <v>906</v>
      </c>
      <c r="G23">
        <f>IFERROR(INDEX(Tabla1[#Data],MATCH(A23,Tabla1[X],0),5),0)</f>
        <v>186</v>
      </c>
      <c r="H23">
        <f>IFERROR(INDEX(Tabla1[#Data],MATCH(A23,Tabla1[X],0),6),0)</f>
        <v>1214</v>
      </c>
      <c r="I23">
        <f>IFERROR(INDEX(Tabla1[#Data],MATCH(A23,Tabla1[X],0),7),0)</f>
        <v>404</v>
      </c>
    </row>
    <row r="24" spans="1:9" x14ac:dyDescent="0.35">
      <c r="A24" s="1" t="s">
        <v>28</v>
      </c>
      <c r="B24" s="1" t="s">
        <v>93</v>
      </c>
      <c r="C24">
        <f>IFERROR(ROUNDUP(INDEX(Tabla1[#Data],MATCH(A24,Tabla1[X],0),9),2),0)</f>
        <v>4.33</v>
      </c>
      <c r="D24">
        <f>IFERROR(INDEX(Tabla1[#Data],MATCH(A24,Tabla1[X],0),2),0)</f>
        <v>1441</v>
      </c>
      <c r="E24">
        <f>IFERROR(INDEX(Tabla1[#Data],MATCH(A24,Tabla1[X],0),3),0)</f>
        <v>1415</v>
      </c>
      <c r="F24">
        <f>IFERROR(INDEX(Tabla1[#Data],MATCH(A24,Tabla1[X],0),4),0)</f>
        <v>1116</v>
      </c>
      <c r="G24">
        <f>IFERROR(INDEX(Tabla1[#Data],MATCH(A24,Tabla1[X],0),5),0)</f>
        <v>278</v>
      </c>
      <c r="H24">
        <f>IFERROR(INDEX(Tabla1[#Data],MATCH(A24,Tabla1[X],0),6),0)</f>
        <v>1442</v>
      </c>
      <c r="I24">
        <f>IFERROR(INDEX(Tabla1[#Data],MATCH(A24,Tabla1[X],0),7),0)</f>
        <v>540</v>
      </c>
    </row>
    <row r="25" spans="1:9" x14ac:dyDescent="0.35">
      <c r="A25" s="1" t="s">
        <v>29</v>
      </c>
      <c r="B25" s="1" t="s">
        <v>29</v>
      </c>
      <c r="C25">
        <f>IFERROR(ROUNDUP(INDEX(Tabla1[#Data],MATCH(A25,Tabla1[X],0),9),2),0)</f>
        <v>1.69</v>
      </c>
      <c r="D25">
        <f>IFERROR(INDEX(Tabla1[#Data],MATCH(A25,Tabla1[X],0),2),0)</f>
        <v>561</v>
      </c>
      <c r="E25">
        <f>IFERROR(INDEX(Tabla1[#Data],MATCH(A25,Tabla1[X],0),3),0)</f>
        <v>547</v>
      </c>
      <c r="F25">
        <f>IFERROR(INDEX(Tabla1[#Data],MATCH(A25,Tabla1[X],0),4),0)</f>
        <v>404</v>
      </c>
      <c r="G25">
        <f>IFERROR(INDEX(Tabla1[#Data],MATCH(A25,Tabla1[X],0),5),0)</f>
        <v>86</v>
      </c>
      <c r="H25">
        <f>IFERROR(INDEX(Tabla1[#Data],MATCH(A25,Tabla1[X],0),6),0)</f>
        <v>562</v>
      </c>
      <c r="I25">
        <f>IFERROR(INDEX(Tabla1[#Data],MATCH(A25,Tabla1[X],0),7),0)</f>
        <v>190</v>
      </c>
    </row>
    <row r="26" spans="1:9" x14ac:dyDescent="0.35">
      <c r="A26" s="1" t="s">
        <v>30</v>
      </c>
      <c r="B26" s="1" t="s">
        <v>30</v>
      </c>
      <c r="C26">
        <f>IFERROR(ROUNDUP(INDEX(Tabla1[#Data],MATCH(A26,Tabla1[X],0),9),2),0)</f>
        <v>4.13</v>
      </c>
      <c r="D26">
        <f>IFERROR(INDEX(Tabla1[#Data],MATCH(A26,Tabla1[X],0),2),0)</f>
        <v>1374</v>
      </c>
      <c r="E26">
        <f>IFERROR(INDEX(Tabla1[#Data],MATCH(A26,Tabla1[X],0),3),0)</f>
        <v>1344</v>
      </c>
      <c r="F26">
        <f>IFERROR(INDEX(Tabla1[#Data],MATCH(A26,Tabla1[X],0),4),0)</f>
        <v>1023</v>
      </c>
      <c r="G26">
        <f>IFERROR(INDEX(Tabla1[#Data],MATCH(A26,Tabla1[X],0),5),0)</f>
        <v>336</v>
      </c>
      <c r="H26">
        <f>IFERROR(INDEX(Tabla1[#Data],MATCH(A26,Tabla1[X],0),6),0)</f>
        <v>1374</v>
      </c>
      <c r="I26">
        <f>IFERROR(INDEX(Tabla1[#Data],MATCH(A26,Tabla1[X],0),7),0)</f>
        <v>564</v>
      </c>
    </row>
    <row r="27" spans="1:9" x14ac:dyDescent="0.35">
      <c r="A27" s="1" t="s">
        <v>31</v>
      </c>
      <c r="B27" s="1" t="s">
        <v>31</v>
      </c>
      <c r="C27">
        <f>IFERROR(ROUNDUP(INDEX(Tabla1[#Data],MATCH(A27,Tabla1[X],0),9),2),0)</f>
        <v>1.91</v>
      </c>
      <c r="D27">
        <f>IFERROR(INDEX(Tabla1[#Data],MATCH(A27,Tabla1[X],0),2),0)</f>
        <v>635</v>
      </c>
      <c r="E27">
        <f>IFERROR(INDEX(Tabla1[#Data],MATCH(A27,Tabla1[X],0),3),0)</f>
        <v>622</v>
      </c>
      <c r="F27">
        <f>IFERROR(INDEX(Tabla1[#Data],MATCH(A27,Tabla1[X],0),4),0)</f>
        <v>451</v>
      </c>
      <c r="G27">
        <f>IFERROR(INDEX(Tabla1[#Data],MATCH(A27,Tabla1[X],0),5),0)</f>
        <v>101</v>
      </c>
      <c r="H27">
        <f>IFERROR(INDEX(Tabla1[#Data],MATCH(A27,Tabla1[X],0),6),0)</f>
        <v>635</v>
      </c>
      <c r="I27">
        <f>IFERROR(INDEX(Tabla1[#Data],MATCH(A27,Tabla1[X],0),7),0)</f>
        <v>192</v>
      </c>
    </row>
    <row r="28" spans="1:9" x14ac:dyDescent="0.35">
      <c r="A28" s="1" t="s">
        <v>32</v>
      </c>
      <c r="B28" s="1" t="s">
        <v>32</v>
      </c>
      <c r="C28">
        <f>IFERROR(ROUNDUP(INDEX(Tabla1[#Data],MATCH(A28,Tabla1[X],0),9),2),0)</f>
        <v>1.5</v>
      </c>
      <c r="D28">
        <f>IFERROR(INDEX(Tabla1[#Data],MATCH(A28,Tabla1[X],0),2),0)</f>
        <v>406</v>
      </c>
      <c r="E28">
        <f>IFERROR(INDEX(Tabla1[#Data],MATCH(A28,Tabla1[X],0),3),0)</f>
        <v>397</v>
      </c>
      <c r="F28">
        <f>IFERROR(INDEX(Tabla1[#Data],MATCH(A28,Tabla1[X],0),4),0)</f>
        <v>304</v>
      </c>
      <c r="G28">
        <f>IFERROR(INDEX(Tabla1[#Data],MATCH(A28,Tabla1[X],0),5),0)</f>
        <v>83</v>
      </c>
      <c r="H28">
        <f>IFERROR(INDEX(Tabla1[#Data],MATCH(A28,Tabla1[X],0),6),0)</f>
        <v>406</v>
      </c>
      <c r="I28">
        <f>IFERROR(INDEX(Tabla1[#Data],MATCH(A28,Tabla1[X],0),7),0)</f>
        <v>154</v>
      </c>
    </row>
    <row r="29" spans="1:9" x14ac:dyDescent="0.35">
      <c r="A29" s="1" t="s">
        <v>33</v>
      </c>
      <c r="B29" s="1" t="s">
        <v>33</v>
      </c>
      <c r="C29">
        <f>IFERROR(ROUNDUP(INDEX(Tabla1[#Data],MATCH(A29,Tabla1[X],0),9),2),0)</f>
        <v>3.38</v>
      </c>
      <c r="D29">
        <f>IFERROR(INDEX(Tabla1[#Data],MATCH(A29,Tabla1[X],0),2),0)</f>
        <v>1126</v>
      </c>
      <c r="E29">
        <f>IFERROR(INDEX(Tabla1[#Data],MATCH(A29,Tabla1[X],0),3),0)</f>
        <v>1110</v>
      </c>
      <c r="F29">
        <f>IFERROR(INDEX(Tabla1[#Data],MATCH(A29,Tabla1[X],0),4),0)</f>
        <v>920</v>
      </c>
      <c r="G29">
        <f>IFERROR(INDEX(Tabla1[#Data],MATCH(A29,Tabla1[X],0),5),0)</f>
        <v>184</v>
      </c>
      <c r="H29">
        <f>IFERROR(INDEX(Tabla1[#Data],MATCH(A29,Tabla1[X],0),6),0)</f>
        <v>1132</v>
      </c>
      <c r="I29">
        <f>IFERROR(INDEX(Tabla1[#Data],MATCH(A29,Tabla1[X],0),7),0)</f>
        <v>414</v>
      </c>
    </row>
    <row r="30" spans="1:9" x14ac:dyDescent="0.35">
      <c r="A30" s="1" t="s">
        <v>34</v>
      </c>
      <c r="B30" s="1" t="s">
        <v>34</v>
      </c>
      <c r="C30">
        <f>IFERROR(ROUNDUP(INDEX(Tabla1[#Data],MATCH(A30,Tabla1[X],0),9),2),0)</f>
        <v>1.98</v>
      </c>
      <c r="D30">
        <f>IFERROR(INDEX(Tabla1[#Data],MATCH(A30,Tabla1[X],0),2),0)</f>
        <v>658</v>
      </c>
      <c r="E30">
        <f>IFERROR(INDEX(Tabla1[#Data],MATCH(A30,Tabla1[X],0),3),0)</f>
        <v>641</v>
      </c>
      <c r="F30">
        <f>IFERROR(INDEX(Tabla1[#Data],MATCH(A30,Tabla1[X],0),4),0)</f>
        <v>462</v>
      </c>
      <c r="G30">
        <f>IFERROR(INDEX(Tabla1[#Data],MATCH(A30,Tabla1[X],0),5),0)</f>
        <v>127</v>
      </c>
      <c r="H30">
        <f>IFERROR(INDEX(Tabla1[#Data],MATCH(A30,Tabla1[X],0),6),0)</f>
        <v>660</v>
      </c>
      <c r="I30">
        <f>IFERROR(INDEX(Tabla1[#Data],MATCH(A30,Tabla1[X],0),7),0)</f>
        <v>235</v>
      </c>
    </row>
    <row r="31" spans="1:9" x14ac:dyDescent="0.35">
      <c r="A31" s="1" t="s">
        <v>36</v>
      </c>
      <c r="B31" s="1" t="s">
        <v>36</v>
      </c>
      <c r="C31">
        <f>IFERROR(ROUNDUP(INDEX(Tabla1[#Data],MATCH(A31,Tabla1[X],0),9),2),0)</f>
        <v>32.44</v>
      </c>
      <c r="D31">
        <f>IFERROR(INDEX(Tabla1[#Data],MATCH(A31,Tabla1[X],0),2),0)</f>
        <v>10811</v>
      </c>
      <c r="E31">
        <f>IFERROR(INDEX(Tabla1[#Data],MATCH(A31,Tabla1[X],0),3),0)</f>
        <v>10691</v>
      </c>
      <c r="F31">
        <f>IFERROR(INDEX(Tabla1[#Data],MATCH(A31,Tabla1[X],0),4),0)</f>
        <v>8897</v>
      </c>
      <c r="G31">
        <f>IFERROR(INDEX(Tabla1[#Data],MATCH(A31,Tabla1[X],0),5),0)</f>
        <v>2396</v>
      </c>
      <c r="H31">
        <f>IFERROR(INDEX(Tabla1[#Data],MATCH(A31,Tabla1[X],0),6),0)</f>
        <v>10817</v>
      </c>
      <c r="I31">
        <f>IFERROR(INDEX(Tabla1[#Data],MATCH(A31,Tabla1[X],0),7),0)</f>
        <v>5449</v>
      </c>
    </row>
    <row r="32" spans="1:9" x14ac:dyDescent="0.35">
      <c r="A32" s="1" t="s">
        <v>71</v>
      </c>
      <c r="B32" s="1" t="s">
        <v>71</v>
      </c>
      <c r="C32">
        <f>IFERROR(ROUNDUP(INDEX(Tabla1[#Data],MATCH(A32,Tabla1[X],0),9),2),0)</f>
        <v>9.84</v>
      </c>
      <c r="D32">
        <f>IFERROR(INDEX(Tabla1[#Data],MATCH(A32,Tabla1[X],0),2),0)</f>
        <v>3280</v>
      </c>
      <c r="E32">
        <f>IFERROR(INDEX(Tabla1[#Data],MATCH(A32,Tabla1[X],0),3),0)</f>
        <v>3226</v>
      </c>
      <c r="F32">
        <f>IFERROR(INDEX(Tabla1[#Data],MATCH(A32,Tabla1[X],0),4),0)</f>
        <v>2540</v>
      </c>
      <c r="G32">
        <f>IFERROR(INDEX(Tabla1[#Data],MATCH(A32,Tabla1[X],0),5),0)</f>
        <v>651</v>
      </c>
      <c r="H32">
        <f>IFERROR(INDEX(Tabla1[#Data],MATCH(A32,Tabla1[X],0),6),0)</f>
        <v>3282</v>
      </c>
      <c r="I32">
        <f>IFERROR(INDEX(Tabla1[#Data],MATCH(A32,Tabla1[X],0),7),0)</f>
        <v>1491</v>
      </c>
    </row>
    <row r="33" spans="1:9" x14ac:dyDescent="0.35">
      <c r="A33" s="1" t="s">
        <v>72</v>
      </c>
      <c r="B33" s="1" t="s">
        <v>98</v>
      </c>
      <c r="C33">
        <f>IFERROR(ROUNDUP(INDEX(Tabla1[#Data],MATCH(A33,Tabla1[X],0),9),2),0)</f>
        <v>4.87</v>
      </c>
      <c r="D33">
        <f>IFERROR(INDEX(Tabla1[#Data],MATCH(A33,Tabla1[X],0),2),0)</f>
        <v>1623</v>
      </c>
      <c r="E33">
        <f>IFERROR(INDEX(Tabla1[#Data],MATCH(A33,Tabla1[X],0),3),0)</f>
        <v>1598</v>
      </c>
      <c r="F33">
        <f>IFERROR(INDEX(Tabla1[#Data],MATCH(A33,Tabla1[X],0),4),0)</f>
        <v>1224</v>
      </c>
      <c r="G33">
        <f>IFERROR(INDEX(Tabla1[#Data],MATCH(A33,Tabla1[X],0),5),0)</f>
        <v>441</v>
      </c>
      <c r="H33">
        <f>IFERROR(INDEX(Tabla1[#Data],MATCH(A33,Tabla1[X],0),6),0)</f>
        <v>1627</v>
      </c>
      <c r="I33">
        <f>IFERROR(INDEX(Tabla1[#Data],MATCH(A33,Tabla1[X],0),7),0)</f>
        <v>751</v>
      </c>
    </row>
    <row r="34" spans="1:9" x14ac:dyDescent="0.35">
      <c r="A34" s="1" t="s">
        <v>37</v>
      </c>
      <c r="B34" s="1" t="s">
        <v>37</v>
      </c>
      <c r="C34">
        <f>IFERROR(ROUNDUP(INDEX(Tabla1[#Data],MATCH(A34,Tabla1[X],0),9),2),0)</f>
        <v>8.3699999999999992</v>
      </c>
      <c r="D34">
        <f>IFERROR(INDEX(Tabla1[#Data],MATCH(A34,Tabla1[X],0),2),0)</f>
        <v>2788</v>
      </c>
      <c r="E34">
        <f>IFERROR(INDEX(Tabla1[#Data],MATCH(A34,Tabla1[X],0),3),0)</f>
        <v>2765</v>
      </c>
      <c r="F34">
        <f>IFERROR(INDEX(Tabla1[#Data],MATCH(A34,Tabla1[X],0),4),0)</f>
        <v>2125</v>
      </c>
      <c r="G34">
        <f>IFERROR(INDEX(Tabla1[#Data],MATCH(A34,Tabla1[X],0),5),0)</f>
        <v>588</v>
      </c>
      <c r="H34">
        <f>IFERROR(INDEX(Tabla1[#Data],MATCH(A34,Tabla1[X],0),6),0)</f>
        <v>2790</v>
      </c>
      <c r="I34">
        <f>IFERROR(INDEX(Tabla1[#Data],MATCH(A34,Tabla1[X],0),7),0)</f>
        <v>1228</v>
      </c>
    </row>
    <row r="35" spans="1:9" x14ac:dyDescent="0.35">
      <c r="A35" s="1" t="s">
        <v>78</v>
      </c>
      <c r="B35" s="1" t="s">
        <v>78</v>
      </c>
      <c r="C35">
        <f>IFERROR(ROUNDUP(INDEX(Tabla1[#Data],MATCH(A35,Tabla1[X],0),9),2),0)</f>
        <v>13.95</v>
      </c>
      <c r="D35">
        <f>IFERROR(INDEX(Tabla1[#Data],MATCH(A35,Tabla1[X],0),2),0)</f>
        <v>4649</v>
      </c>
      <c r="E35">
        <f>IFERROR(INDEX(Tabla1[#Data],MATCH(A35,Tabla1[X],0),3),0)</f>
        <v>4601</v>
      </c>
      <c r="F35">
        <f>IFERROR(INDEX(Tabla1[#Data],MATCH(A35,Tabla1[X],0),4),0)</f>
        <v>3516</v>
      </c>
      <c r="G35">
        <f>IFERROR(INDEX(Tabla1[#Data],MATCH(A35,Tabla1[X],0),5),0)</f>
        <v>896</v>
      </c>
      <c r="H35">
        <f>IFERROR(INDEX(Tabla1[#Data],MATCH(A35,Tabla1[X],0),6),0)</f>
        <v>4655</v>
      </c>
      <c r="I35">
        <f>IFERROR(INDEX(Tabla1[#Data],MATCH(A35,Tabla1[X],0),7),0)</f>
        <v>2002</v>
      </c>
    </row>
    <row r="36" spans="1:9" x14ac:dyDescent="0.35">
      <c r="A36" s="1" t="s">
        <v>40</v>
      </c>
      <c r="B36" s="1" t="s">
        <v>94</v>
      </c>
      <c r="C36">
        <f>IFERROR(ROUNDUP(INDEX(Tabla1[#Data],MATCH(A36,Tabla1[X],0),9),2),0)</f>
        <v>4.96</v>
      </c>
      <c r="D36">
        <f>IFERROR(INDEX(Tabla1[#Data],MATCH(A36,Tabla1[X],0),2),0)</f>
        <v>1653</v>
      </c>
      <c r="E36">
        <f>IFERROR(INDEX(Tabla1[#Data],MATCH(A36,Tabla1[X],0),3),0)</f>
        <v>1634</v>
      </c>
      <c r="F36">
        <f>IFERROR(INDEX(Tabla1[#Data],MATCH(A36,Tabla1[X],0),4),0)</f>
        <v>1214</v>
      </c>
      <c r="G36">
        <f>IFERROR(INDEX(Tabla1[#Data],MATCH(A36,Tabla1[X],0),5),0)</f>
        <v>279</v>
      </c>
      <c r="H36">
        <f>IFERROR(INDEX(Tabla1[#Data],MATCH(A36,Tabla1[X],0),6),0)</f>
        <v>1653</v>
      </c>
      <c r="I36">
        <f>IFERROR(INDEX(Tabla1[#Data],MATCH(A36,Tabla1[X],0),7),0)</f>
        <v>665</v>
      </c>
    </row>
    <row r="37" spans="1:9" x14ac:dyDescent="0.35">
      <c r="A37" s="1" t="s">
        <v>41</v>
      </c>
      <c r="B37" s="1" t="s">
        <v>41</v>
      </c>
      <c r="C37">
        <f>IFERROR(ROUNDUP(INDEX(Tabla1[#Data],MATCH(A37,Tabla1[X],0),9),2),0)</f>
        <v>16.03</v>
      </c>
      <c r="D37">
        <f>IFERROR(INDEX(Tabla1[#Data],MATCH(A37,Tabla1[X],0),2),0)</f>
        <v>5341</v>
      </c>
      <c r="E37">
        <f>IFERROR(INDEX(Tabla1[#Data],MATCH(A37,Tabla1[X],0),3),0)</f>
        <v>5262</v>
      </c>
      <c r="F37">
        <f>IFERROR(INDEX(Tabla1[#Data],MATCH(A37,Tabla1[X],0),4),0)</f>
        <v>4076</v>
      </c>
      <c r="G37">
        <f>IFERROR(INDEX(Tabla1[#Data],MATCH(A37,Tabla1[X],0),5),0)</f>
        <v>770</v>
      </c>
      <c r="H37">
        <f>IFERROR(INDEX(Tabla1[#Data],MATCH(A37,Tabla1[X],0),6),0)</f>
        <v>5344</v>
      </c>
      <c r="I37">
        <f>IFERROR(INDEX(Tabla1[#Data],MATCH(A37,Tabla1[X],0),7),0)</f>
        <v>2257</v>
      </c>
    </row>
    <row r="38" spans="1:9" x14ac:dyDescent="0.35">
      <c r="A38" s="1" t="s">
        <v>43</v>
      </c>
      <c r="B38" s="1" t="s">
        <v>43</v>
      </c>
      <c r="C38">
        <f>IFERROR(ROUNDUP(INDEX(Tabla1[#Data],MATCH(A38,Tabla1[X],0),9),2),0)</f>
        <v>5.94</v>
      </c>
      <c r="D38">
        <f>IFERROR(INDEX(Tabla1[#Data],MATCH(A38,Tabla1[X],0),2),0)</f>
        <v>1980</v>
      </c>
      <c r="E38">
        <f>IFERROR(INDEX(Tabla1[#Data],MATCH(A38,Tabla1[X],0),3),0)</f>
        <v>1944</v>
      </c>
      <c r="F38">
        <f>IFERROR(INDEX(Tabla1[#Data],MATCH(A38,Tabla1[X],0),4),0)</f>
        <v>1369</v>
      </c>
      <c r="G38">
        <f>IFERROR(INDEX(Tabla1[#Data],MATCH(A38,Tabla1[X],0),5),0)</f>
        <v>304</v>
      </c>
      <c r="H38">
        <f>IFERROR(INDEX(Tabla1[#Data],MATCH(A38,Tabla1[X],0),6),0)</f>
        <v>1981</v>
      </c>
      <c r="I38">
        <f>IFERROR(INDEX(Tabla1[#Data],MATCH(A38,Tabla1[X],0),7),0)</f>
        <v>681</v>
      </c>
    </row>
    <row r="39" spans="1:9" x14ac:dyDescent="0.35">
      <c r="A39" s="1" t="s">
        <v>44</v>
      </c>
      <c r="B39" s="1" t="s">
        <v>95</v>
      </c>
      <c r="C39">
        <f>IFERROR(ROUNDUP(INDEX(Tabla1[#Data],MATCH(A39,Tabla1[X],0),9),2),0)</f>
        <v>4.5599999999999996</v>
      </c>
      <c r="D39">
        <f>IFERROR(INDEX(Tabla1[#Data],MATCH(A39,Tabla1[X],0),2),0)</f>
        <v>1517</v>
      </c>
      <c r="E39">
        <f>IFERROR(INDEX(Tabla1[#Data],MATCH(A39,Tabla1[X],0),3),0)</f>
        <v>1485</v>
      </c>
      <c r="F39">
        <f>IFERROR(INDEX(Tabla1[#Data],MATCH(A39,Tabla1[X],0),4),0)</f>
        <v>1046</v>
      </c>
      <c r="G39">
        <f>IFERROR(INDEX(Tabla1[#Data],MATCH(A39,Tabla1[X],0),5),0)</f>
        <v>225</v>
      </c>
      <c r="H39">
        <f>IFERROR(INDEX(Tabla1[#Data],MATCH(A39,Tabla1[X],0),6),0)</f>
        <v>1518</v>
      </c>
      <c r="I39">
        <f>IFERROR(INDEX(Tabla1[#Data],MATCH(A39,Tabla1[X],0),7),0)</f>
        <v>512</v>
      </c>
    </row>
    <row r="40" spans="1:9" x14ac:dyDescent="0.35">
      <c r="A40" s="1" t="s">
        <v>73</v>
      </c>
      <c r="B40" s="1" t="s">
        <v>73</v>
      </c>
      <c r="C40">
        <f>IFERROR(ROUNDUP(INDEX(Tabla1[#Data],MATCH(A40,Tabla1[X],0),9),2),0)</f>
        <v>9</v>
      </c>
      <c r="D40">
        <f>IFERROR(INDEX(Tabla1[#Data],MATCH(A40,Tabla1[X],0),2),0)</f>
        <v>2999</v>
      </c>
      <c r="E40">
        <f>IFERROR(INDEX(Tabla1[#Data],MATCH(A40,Tabla1[X],0),3),0)</f>
        <v>2946</v>
      </c>
      <c r="F40">
        <f>IFERROR(INDEX(Tabla1[#Data],MATCH(A40,Tabla1[X],0),4),0)</f>
        <v>2445</v>
      </c>
      <c r="G40">
        <f>IFERROR(INDEX(Tabla1[#Data],MATCH(A40,Tabla1[X],0),5),0)</f>
        <v>582</v>
      </c>
      <c r="H40">
        <f>IFERROR(INDEX(Tabla1[#Data],MATCH(A40,Tabla1[X],0),6),0)</f>
        <v>2999</v>
      </c>
      <c r="I40">
        <f>IFERROR(INDEX(Tabla1[#Data],MATCH(A40,Tabla1[X],0),7),0)</f>
        <v>1406</v>
      </c>
    </row>
    <row r="41" spans="1:9" x14ac:dyDescent="0.35">
      <c r="A41" s="1" t="s">
        <v>46</v>
      </c>
      <c r="B41" s="1" t="s">
        <v>46</v>
      </c>
      <c r="C41">
        <f>IFERROR(ROUNDUP(INDEX(Tabla1[#Data],MATCH(A41,Tabla1[X],0),9),2),0)</f>
        <v>3.38</v>
      </c>
      <c r="D41">
        <f>IFERROR(INDEX(Tabla1[#Data],MATCH(A41,Tabla1[X],0),2),0)</f>
        <v>1126</v>
      </c>
      <c r="E41">
        <f>IFERROR(INDEX(Tabla1[#Data],MATCH(A41,Tabla1[X],0),3),0)</f>
        <v>1104</v>
      </c>
      <c r="F41">
        <f>IFERROR(INDEX(Tabla1[#Data],MATCH(A41,Tabla1[X],0),4),0)</f>
        <v>875</v>
      </c>
      <c r="G41">
        <f>IFERROR(INDEX(Tabla1[#Data],MATCH(A41,Tabla1[X],0),5),0)</f>
        <v>253</v>
      </c>
      <c r="H41">
        <f>IFERROR(INDEX(Tabla1[#Data],MATCH(A41,Tabla1[X],0),6),0)</f>
        <v>1126</v>
      </c>
      <c r="I41">
        <f>IFERROR(INDEX(Tabla1[#Data],MATCH(A41,Tabla1[X],0),7),0)</f>
        <v>523</v>
      </c>
    </row>
    <row r="42" spans="1:9" x14ac:dyDescent="0.35">
      <c r="A42" s="1" t="s">
        <v>74</v>
      </c>
      <c r="B42" s="1" t="s">
        <v>74</v>
      </c>
      <c r="C42">
        <f>IFERROR(ROUNDUP(INDEX(Tabla1[#Data],MATCH(A42,Tabla1[X],0),9),2),0)</f>
        <v>2.59</v>
      </c>
      <c r="D42">
        <f>IFERROR(INDEX(Tabla1[#Data],MATCH(A42,Tabla1[X],0),2),0)</f>
        <v>861</v>
      </c>
      <c r="E42">
        <f>IFERROR(INDEX(Tabla1[#Data],MATCH(A42,Tabla1[X],0),3),0)</f>
        <v>835</v>
      </c>
      <c r="F42">
        <f>IFERROR(INDEX(Tabla1[#Data],MATCH(A42,Tabla1[X],0),4),0)</f>
        <v>643</v>
      </c>
      <c r="G42">
        <f>IFERROR(INDEX(Tabla1[#Data],MATCH(A42,Tabla1[X],0),5),0)</f>
        <v>167</v>
      </c>
      <c r="H42">
        <f>IFERROR(INDEX(Tabla1[#Data],MATCH(A42,Tabla1[X],0),6),0)</f>
        <v>862</v>
      </c>
      <c r="I42">
        <f>IFERROR(INDEX(Tabla1[#Data],MATCH(A42,Tabla1[X],0),7),0)</f>
        <v>327</v>
      </c>
    </row>
    <row r="43" spans="1:9" x14ac:dyDescent="0.35">
      <c r="A43" s="1" t="s">
        <v>47</v>
      </c>
      <c r="B43" s="1" t="s">
        <v>47</v>
      </c>
      <c r="C43">
        <f>IFERROR(ROUNDUP(INDEX(Tabla1[#Data],MATCH(A43,Tabla1[X],0),9),2),0)</f>
        <v>7.26</v>
      </c>
      <c r="D43">
        <f>IFERROR(INDEX(Tabla1[#Data],MATCH(A43,Tabla1[X],0),2),0)</f>
        <v>2418</v>
      </c>
      <c r="E43">
        <f>IFERROR(INDEX(Tabla1[#Data],MATCH(A43,Tabla1[X],0),3),0)</f>
        <v>2377</v>
      </c>
      <c r="F43">
        <f>IFERROR(INDEX(Tabla1[#Data],MATCH(A43,Tabla1[X],0),4),0)</f>
        <v>1992</v>
      </c>
      <c r="G43">
        <f>IFERROR(INDEX(Tabla1[#Data],MATCH(A43,Tabla1[X],0),5),0)</f>
        <v>473</v>
      </c>
      <c r="H43">
        <f>IFERROR(INDEX(Tabla1[#Data],MATCH(A43,Tabla1[X],0),6),0)</f>
        <v>2420</v>
      </c>
      <c r="I43">
        <f>IFERROR(INDEX(Tabla1[#Data],MATCH(A43,Tabla1[X],0),7),0)</f>
        <v>1042</v>
      </c>
    </row>
    <row r="44" spans="1:9" x14ac:dyDescent="0.35">
      <c r="A44" s="1" t="s">
        <v>48</v>
      </c>
      <c r="B44" s="1" t="s">
        <v>48</v>
      </c>
      <c r="C44">
        <f>IFERROR(ROUNDUP(INDEX(Tabla1[#Data],MATCH(A44,Tabla1[X],0),9),2),0)</f>
        <v>9.0499999999999989</v>
      </c>
      <c r="D44">
        <f>IFERROR(INDEX(Tabla1[#Data],MATCH(A44,Tabla1[X],0),2),0)</f>
        <v>3014</v>
      </c>
      <c r="E44">
        <f>IFERROR(INDEX(Tabla1[#Data],MATCH(A44,Tabla1[X],0),3),0)</f>
        <v>2982</v>
      </c>
      <c r="F44">
        <f>IFERROR(INDEX(Tabla1[#Data],MATCH(A44,Tabla1[X],0),4),0)</f>
        <v>2177</v>
      </c>
      <c r="G44">
        <f>IFERROR(INDEX(Tabla1[#Data],MATCH(A44,Tabla1[X],0),5),0)</f>
        <v>492</v>
      </c>
      <c r="H44">
        <f>IFERROR(INDEX(Tabla1[#Data],MATCH(A44,Tabla1[X],0),6),0)</f>
        <v>3015</v>
      </c>
      <c r="I44">
        <f>IFERROR(INDEX(Tabla1[#Data],MATCH(A44,Tabla1[X],0),7),0)</f>
        <v>1282</v>
      </c>
    </row>
    <row r="45" spans="1:9" x14ac:dyDescent="0.35">
      <c r="A45" s="1" t="s">
        <v>49</v>
      </c>
      <c r="B45" s="1" t="s">
        <v>49</v>
      </c>
      <c r="C45">
        <f>IFERROR(ROUNDUP(INDEX(Tabla1[#Data],MATCH(A45,Tabla1[X],0),9),2),0)</f>
        <v>2.73</v>
      </c>
      <c r="D45">
        <f>IFERROR(INDEX(Tabla1[#Data],MATCH(A45,Tabla1[X],0),2),0)</f>
        <v>908</v>
      </c>
      <c r="E45">
        <f>IFERROR(INDEX(Tabla1[#Data],MATCH(A45,Tabla1[X],0),3),0)</f>
        <v>887</v>
      </c>
      <c r="F45">
        <f>IFERROR(INDEX(Tabla1[#Data],MATCH(A45,Tabla1[X],0),4),0)</f>
        <v>669</v>
      </c>
      <c r="G45">
        <f>IFERROR(INDEX(Tabla1[#Data],MATCH(A45,Tabla1[X],0),5),0)</f>
        <v>148</v>
      </c>
      <c r="H45">
        <f>IFERROR(INDEX(Tabla1[#Data],MATCH(A45,Tabla1[X],0),6),0)</f>
        <v>908</v>
      </c>
      <c r="I45">
        <f>IFERROR(INDEX(Tabla1[#Data],MATCH(A45,Tabla1[X],0),7),0)</f>
        <v>297</v>
      </c>
    </row>
    <row r="46" spans="1:9" x14ac:dyDescent="0.35">
      <c r="A46" s="1" t="s">
        <v>50</v>
      </c>
      <c r="B46" s="1" t="s">
        <v>50</v>
      </c>
      <c r="C46">
        <f>IFERROR(ROUNDUP(INDEX(Tabla1[#Data],MATCH(A46,Tabla1[X],0),9),2),0)</f>
        <v>19.330000000000002</v>
      </c>
      <c r="D46">
        <f>IFERROR(INDEX(Tabla1[#Data],MATCH(A46,Tabla1[X],0),2),0)</f>
        <v>6443</v>
      </c>
      <c r="E46">
        <f>IFERROR(INDEX(Tabla1[#Data],MATCH(A46,Tabla1[X],0),3),0)</f>
        <v>6331</v>
      </c>
      <c r="F46">
        <f>IFERROR(INDEX(Tabla1[#Data],MATCH(A46,Tabla1[X],0),4),0)</f>
        <v>5118</v>
      </c>
      <c r="G46">
        <f>IFERROR(INDEX(Tabla1[#Data],MATCH(A46,Tabla1[X],0),5),0)</f>
        <v>1410</v>
      </c>
      <c r="H46">
        <f>IFERROR(INDEX(Tabla1[#Data],MATCH(A46,Tabla1[X],0),6),0)</f>
        <v>6446</v>
      </c>
      <c r="I46">
        <f>IFERROR(INDEX(Tabla1[#Data],MATCH(A46,Tabla1[X],0),7),0)</f>
        <v>3080</v>
      </c>
    </row>
    <row r="47" spans="1:9" x14ac:dyDescent="0.35">
      <c r="A47" s="1" t="s">
        <v>52</v>
      </c>
      <c r="B47" s="1" t="s">
        <v>52</v>
      </c>
      <c r="C47">
        <f>IFERROR(ROUNDUP(INDEX(Tabla1[#Data],MATCH(A47,Tabla1[X],0),9),2),0)</f>
        <v>10.84</v>
      </c>
      <c r="D47">
        <f>IFERROR(INDEX(Tabla1[#Data],MATCH(A47,Tabla1[X],0),2),0)</f>
        <v>3612</v>
      </c>
      <c r="E47">
        <f>IFERROR(INDEX(Tabla1[#Data],MATCH(A47,Tabla1[X],0),3),0)</f>
        <v>3527</v>
      </c>
      <c r="F47">
        <f>IFERROR(INDEX(Tabla1[#Data],MATCH(A47,Tabla1[X],0),4),0)</f>
        <v>2588</v>
      </c>
      <c r="G47">
        <f>IFERROR(INDEX(Tabla1[#Data],MATCH(A47,Tabla1[X],0),5),0)</f>
        <v>581</v>
      </c>
      <c r="H47">
        <f>IFERROR(INDEX(Tabla1[#Data],MATCH(A47,Tabla1[X],0),6),0)</f>
        <v>3615</v>
      </c>
      <c r="I47">
        <f>IFERROR(INDEX(Tabla1[#Data],MATCH(A47,Tabla1[X],0),7),0)</f>
        <v>1343</v>
      </c>
    </row>
    <row r="48" spans="1:9" x14ac:dyDescent="0.35">
      <c r="A48" s="1" t="s">
        <v>53</v>
      </c>
      <c r="B48" s="1" t="s">
        <v>53</v>
      </c>
      <c r="C48">
        <f>IFERROR(ROUNDUP(INDEX(Tabla1[#Data],MATCH(A48,Tabla1[X],0),9),2),0)</f>
        <v>6.09</v>
      </c>
      <c r="D48">
        <f>IFERROR(INDEX(Tabla1[#Data],MATCH(A48,Tabla1[X],0),2),0)</f>
        <v>2027</v>
      </c>
      <c r="E48">
        <f>IFERROR(INDEX(Tabla1[#Data],MATCH(A48,Tabla1[X],0),3),0)</f>
        <v>2012</v>
      </c>
      <c r="F48">
        <f>IFERROR(INDEX(Tabla1[#Data],MATCH(A48,Tabla1[X],0),4),0)</f>
        <v>1548</v>
      </c>
      <c r="G48">
        <f>IFERROR(INDEX(Tabla1[#Data],MATCH(A48,Tabla1[X],0),5),0)</f>
        <v>372</v>
      </c>
      <c r="H48">
        <f>IFERROR(INDEX(Tabla1[#Data],MATCH(A48,Tabla1[X],0),6),0)</f>
        <v>2027</v>
      </c>
      <c r="I48">
        <f>IFERROR(INDEX(Tabla1[#Data],MATCH(A48,Tabla1[X],0),7),0)</f>
        <v>786</v>
      </c>
    </row>
    <row r="49" spans="1:9" x14ac:dyDescent="0.35">
      <c r="A49" s="1" t="s">
        <v>75</v>
      </c>
      <c r="B49" s="1" t="s">
        <v>97</v>
      </c>
      <c r="C49">
        <f>IFERROR(ROUNDUP(INDEX(Tabla1[#Data],MATCH(A49,Tabla1[X],0),9),2),0)</f>
        <v>2.1399999999999997</v>
      </c>
      <c r="D49">
        <f>IFERROR(INDEX(Tabla1[#Data],MATCH(A49,Tabla1[X],0),2),0)</f>
        <v>711</v>
      </c>
      <c r="E49">
        <f>IFERROR(INDEX(Tabla1[#Data],MATCH(A49,Tabla1[X],0),3),0)</f>
        <v>701</v>
      </c>
      <c r="F49">
        <f>IFERROR(INDEX(Tabla1[#Data],MATCH(A49,Tabla1[X],0),4),0)</f>
        <v>587</v>
      </c>
      <c r="G49">
        <f>IFERROR(INDEX(Tabla1[#Data],MATCH(A49,Tabla1[X],0),5),0)</f>
        <v>124</v>
      </c>
      <c r="H49">
        <f>IFERROR(INDEX(Tabla1[#Data],MATCH(A49,Tabla1[X],0),6),0)</f>
        <v>711</v>
      </c>
      <c r="I49">
        <f>IFERROR(INDEX(Tabla1[#Data],MATCH(A49,Tabla1[X],0),7),0)</f>
        <v>307</v>
      </c>
    </row>
    <row r="50" spans="1:9" x14ac:dyDescent="0.35">
      <c r="A50" s="1" t="s">
        <v>76</v>
      </c>
      <c r="B50" s="1" t="s">
        <v>96</v>
      </c>
      <c r="C50">
        <f>IFERROR(ROUNDUP(INDEX(Tabla1[#Data],MATCH(A50,Tabla1[X],0),9),2),0)</f>
        <v>5.54</v>
      </c>
      <c r="D50">
        <f>IFERROR(INDEX(Tabla1[#Data],MATCH(A50,Tabla1[X],0),2),0)</f>
        <v>1846</v>
      </c>
      <c r="E50">
        <f>IFERROR(INDEX(Tabla1[#Data],MATCH(A50,Tabla1[X],0),3),0)</f>
        <v>1822</v>
      </c>
      <c r="F50">
        <f>IFERROR(INDEX(Tabla1[#Data],MATCH(A50,Tabla1[X],0),4),0)</f>
        <v>1460</v>
      </c>
      <c r="G50">
        <f>IFERROR(INDEX(Tabla1[#Data],MATCH(A50,Tabla1[X],0),5),0)</f>
        <v>299</v>
      </c>
      <c r="H50">
        <f>IFERROR(INDEX(Tabla1[#Data],MATCH(A50,Tabla1[X],0),6),0)</f>
        <v>1847</v>
      </c>
      <c r="I50">
        <f>IFERROR(INDEX(Tabla1[#Data],MATCH(A50,Tabla1[X],0),7),0)</f>
        <v>714</v>
      </c>
    </row>
    <row r="51" spans="1:9" x14ac:dyDescent="0.35">
      <c r="A51" s="1" t="s">
        <v>77</v>
      </c>
      <c r="B51" s="1" t="s">
        <v>77</v>
      </c>
      <c r="C51">
        <f>IFERROR(ROUNDUP(INDEX(Tabla1[#Data],MATCH(A51,Tabla1[X],0),9),2),0)</f>
        <v>8.01</v>
      </c>
      <c r="D51">
        <f>IFERROR(INDEX(Tabla1[#Data],MATCH(A51,Tabla1[X],0),2),0)</f>
        <v>2668</v>
      </c>
      <c r="E51">
        <f>IFERROR(INDEX(Tabla1[#Data],MATCH(A51,Tabla1[X],0),3),0)</f>
        <v>2642</v>
      </c>
      <c r="F51">
        <f>IFERROR(INDEX(Tabla1[#Data],MATCH(A51,Tabla1[X],0),4),0)</f>
        <v>2099</v>
      </c>
      <c r="G51">
        <f>IFERROR(INDEX(Tabla1[#Data],MATCH(A51,Tabla1[X],0),5),0)</f>
        <v>360</v>
      </c>
      <c r="H51">
        <f>IFERROR(INDEX(Tabla1[#Data],MATCH(A51,Tabla1[X],0),6),0)</f>
        <v>2672</v>
      </c>
      <c r="I51">
        <f>IFERROR(INDEX(Tabla1[#Data],MATCH(A51,Tabla1[X],0),7),0)</f>
        <v>1041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</vt:lpstr>
      <vt:lpstr>Comunidades_csv_copiar</vt:lpstr>
      <vt:lpstr>Provincias_csv_copiar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 Stone</dc:creator>
  <cp:lastModifiedBy>gsas gsas</cp:lastModifiedBy>
  <dcterms:created xsi:type="dcterms:W3CDTF">2025-02-04T09:03:00Z</dcterms:created>
  <dcterms:modified xsi:type="dcterms:W3CDTF">2025-10-24T08:37:13Z</dcterms:modified>
</cp:coreProperties>
</file>